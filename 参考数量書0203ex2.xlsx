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Users\ma-hayashi\Desktop\案件\003_ネクスト・ワン\202601_1月活動\9参考数量書変換業務\変換完了\"/>
    </mc:Choice>
  </mc:AlternateContent>
  <xr:revisionPtr revIDLastSave="0" documentId="13_ncr:1_{A7402766-47BC-41CE-8CD0-BD2B0FB50714}" xr6:coauthVersionLast="47" xr6:coauthVersionMax="47" xr10:uidLastSave="{00000000-0000-0000-0000-000000000000}"/>
  <bookViews>
    <workbookView xWindow="1404" yWindow="840" windowWidth="17280" windowHeight="9960" xr2:uid="{606141D6-72CB-4A8B-8208-C1E28C98B33A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10" r:id="rId8"/>
    <sheet name="9" sheetId="12" r:id="rId9"/>
    <sheet name="10" sheetId="14" r:id="rId10"/>
    <sheet name="11" sheetId="16" r:id="rId11"/>
    <sheet name="12" sheetId="18" r:id="rId12"/>
    <sheet name="13" sheetId="20" r:id="rId13"/>
    <sheet name="14" sheetId="22" r:id="rId14"/>
    <sheet name="15" sheetId="24" r:id="rId15"/>
    <sheet name="16" sheetId="26" r:id="rId16"/>
    <sheet name="17" sheetId="28" r:id="rId17"/>
    <sheet name="18" sheetId="30" r:id="rId18"/>
    <sheet name="19" sheetId="32" r:id="rId19"/>
    <sheet name="20" sheetId="34" r:id="rId20"/>
    <sheet name="21" sheetId="36" r:id="rId21"/>
    <sheet name="22" sheetId="38" r:id="rId22"/>
    <sheet name="23" sheetId="40" r:id="rId23"/>
    <sheet name="24" sheetId="42" r:id="rId24"/>
    <sheet name="25" sheetId="44" r:id="rId25"/>
    <sheet name="26" sheetId="45" r:id="rId26"/>
    <sheet name="27" sheetId="46" r:id="rId27"/>
    <sheet name="28" sheetId="47" r:id="rId28"/>
    <sheet name="29" sheetId="48" r:id="rId29"/>
    <sheet name="30" sheetId="49" r:id="rId30"/>
    <sheet name="31" sheetId="50" r:id="rId31"/>
    <sheet name="32" sheetId="51" r:id="rId32"/>
    <sheet name="33" sheetId="52" r:id="rId33"/>
    <sheet name="34" sheetId="53" r:id="rId34"/>
    <sheet name="35" sheetId="54" r:id="rId35"/>
    <sheet name="36" sheetId="55" r:id="rId36"/>
    <sheet name="37" sheetId="56" r:id="rId37"/>
    <sheet name="38" sheetId="57" r:id="rId38"/>
    <sheet name="39" sheetId="58" r:id="rId39"/>
    <sheet name="40" sheetId="59" r:id="rId40"/>
    <sheet name="41" sheetId="60" r:id="rId41"/>
    <sheet name="42" sheetId="61" r:id="rId42"/>
    <sheet name="43" sheetId="62" r:id="rId43"/>
    <sheet name="44" sheetId="63" r:id="rId44"/>
    <sheet name="45" sheetId="64" r:id="rId45"/>
    <sheet name="46" sheetId="65" r:id="rId46"/>
    <sheet name="47" sheetId="66" r:id="rId47"/>
    <sheet name="48" sheetId="67" r:id="rId48"/>
    <sheet name="49" sheetId="68" r:id="rId49"/>
    <sheet name="50" sheetId="69" r:id="rId50"/>
    <sheet name="51" sheetId="70" r:id="rId51"/>
    <sheet name="52" sheetId="71" r:id="rId52"/>
    <sheet name="53" sheetId="72" r:id="rId53"/>
    <sheet name="54" sheetId="73" r:id="rId54"/>
    <sheet name="55" sheetId="74" r:id="rId55"/>
    <sheet name="56" sheetId="75" r:id="rId56"/>
    <sheet name="57" sheetId="76" r:id="rId57"/>
    <sheet name="58" sheetId="77" r:id="rId58"/>
    <sheet name="59" sheetId="78" r:id="rId59"/>
    <sheet name="60" sheetId="79" r:id="rId60"/>
    <sheet name="61" sheetId="80" r:id="rId61"/>
    <sheet name="62" sheetId="81" r:id="rId62"/>
    <sheet name="63" sheetId="82" r:id="rId63"/>
    <sheet name="64" sheetId="83" r:id="rId64"/>
    <sheet name="65" sheetId="84" r:id="rId65"/>
    <sheet name="66" sheetId="85" r:id="rId66"/>
    <sheet name="67" sheetId="86" r:id="rId67"/>
    <sheet name="68" sheetId="87" r:id="rId68"/>
    <sheet name="69" sheetId="88" r:id="rId69"/>
    <sheet name="70" sheetId="89" r:id="rId70"/>
    <sheet name="71" sheetId="90" r:id="rId71"/>
    <sheet name="72" sheetId="91" r:id="rId72"/>
    <sheet name="73" sheetId="92" r:id="rId73"/>
    <sheet name="74" sheetId="93" r:id="rId74"/>
    <sheet name="75" sheetId="94" r:id="rId75"/>
    <sheet name="76" sheetId="95" r:id="rId76"/>
    <sheet name="77" sheetId="96" r:id="rId77"/>
    <sheet name="78" sheetId="97" r:id="rId78"/>
    <sheet name="79" sheetId="98" r:id="rId79"/>
    <sheet name="80" sheetId="99" r:id="rId80"/>
    <sheet name="81" sheetId="100" r:id="rId8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98" l="1"/>
  <c r="F5" i="62"/>
  <c r="F11" i="60"/>
  <c r="F5" i="60"/>
  <c r="F10" i="48"/>
  <c r="F8" i="48"/>
  <c r="F7" i="48"/>
  <c r="F10" i="46"/>
  <c r="F5" i="100"/>
  <c r="F6" i="100" s="1"/>
  <c r="F4" i="100" s="1"/>
  <c r="F10" i="98" s="1"/>
  <c r="F14" i="99"/>
  <c r="F15" i="99" s="1"/>
  <c r="F13" i="99" s="1"/>
  <c r="F9" i="98" s="1"/>
  <c r="F11" i="99"/>
  <c r="F12" i="99" s="1"/>
  <c r="F10" i="99" s="1"/>
  <c r="F8" i="98" s="1"/>
  <c r="F8" i="99"/>
  <c r="F9" i="99" s="1"/>
  <c r="F7" i="99" s="1"/>
  <c r="F7" i="98" s="1"/>
  <c r="F5" i="99"/>
  <c r="F6" i="99" s="1"/>
  <c r="F4" i="99" s="1"/>
  <c r="F5" i="98" s="1"/>
  <c r="F6" i="98"/>
  <c r="F4" i="98"/>
  <c r="F10" i="97"/>
  <c r="F7" i="97"/>
  <c r="F6" i="97"/>
  <c r="F4" i="97" s="1"/>
  <c r="F16" i="96"/>
  <c r="F15" i="96"/>
  <c r="F17" i="96" s="1"/>
  <c r="F12" i="96"/>
  <c r="F13" i="96" s="1"/>
  <c r="F11" i="96"/>
  <c r="F8" i="96"/>
  <c r="F7" i="96"/>
  <c r="F9" i="96" s="1"/>
  <c r="F4" i="96"/>
  <c r="F17" i="95"/>
  <c r="F16" i="95"/>
  <c r="F13" i="95"/>
  <c r="F12" i="95"/>
  <c r="F11" i="95"/>
  <c r="F14" i="95" s="1"/>
  <c r="F8" i="95"/>
  <c r="F7" i="95"/>
  <c r="F6" i="95"/>
  <c r="F11" i="94"/>
  <c r="F10" i="94"/>
  <c r="F9" i="94"/>
  <c r="F8" i="94"/>
  <c r="F7" i="94"/>
  <c r="F6" i="94"/>
  <c r="F5" i="94"/>
  <c r="F12" i="94" s="1"/>
  <c r="F4" i="94" s="1"/>
  <c r="F7" i="61" s="1"/>
  <c r="F11" i="93"/>
  <c r="F12" i="93" s="1"/>
  <c r="F10" i="93" s="1"/>
  <c r="F6" i="61" s="1"/>
  <c r="F8" i="93"/>
  <c r="F7" i="93"/>
  <c r="F6" i="93"/>
  <c r="F5" i="93"/>
  <c r="F9" i="93" s="1"/>
  <c r="F4" i="93" s="1"/>
  <c r="F5" i="61" s="1"/>
  <c r="F14" i="92"/>
  <c r="F13" i="92"/>
  <c r="F12" i="92"/>
  <c r="F11" i="92"/>
  <c r="F15" i="92" s="1"/>
  <c r="F4" i="92" s="1"/>
  <c r="F4" i="61" s="1"/>
  <c r="F10" i="92"/>
  <c r="F9" i="92"/>
  <c r="F8" i="92"/>
  <c r="F7" i="92"/>
  <c r="F6" i="92"/>
  <c r="F14" i="91"/>
  <c r="F15" i="91" s="1"/>
  <c r="F13" i="91" s="1"/>
  <c r="F12" i="91"/>
  <c r="F11" i="91"/>
  <c r="F10" i="91"/>
  <c r="F9" i="91"/>
  <c r="F8" i="91"/>
  <c r="F7" i="91"/>
  <c r="F6" i="91"/>
  <c r="F12" i="90"/>
  <c r="F11" i="90"/>
  <c r="F10" i="90"/>
  <c r="F9" i="90"/>
  <c r="F13" i="90" s="1"/>
  <c r="F8" i="90" s="1"/>
  <c r="F10" i="60" s="1"/>
  <c r="F6" i="90"/>
  <c r="F7" i="90" s="1"/>
  <c r="F4" i="90" s="1"/>
  <c r="F9" i="60" s="1"/>
  <c r="F5" i="90"/>
  <c r="F15" i="89"/>
  <c r="F14" i="89"/>
  <c r="F13" i="89"/>
  <c r="F12" i="89"/>
  <c r="F16" i="89" s="1"/>
  <c r="F11" i="89" s="1"/>
  <c r="F8" i="60" s="1"/>
  <c r="F9" i="89"/>
  <c r="F8" i="89"/>
  <c r="F7" i="89"/>
  <c r="F10" i="89" s="1"/>
  <c r="F4" i="89" s="1"/>
  <c r="F7" i="60" s="1"/>
  <c r="F6" i="89"/>
  <c r="F5" i="89"/>
  <c r="F17" i="88"/>
  <c r="F16" i="88"/>
  <c r="F15" i="88"/>
  <c r="F14" i="88"/>
  <c r="F13" i="88"/>
  <c r="F12" i="88"/>
  <c r="F11" i="88"/>
  <c r="F10" i="88"/>
  <c r="F9" i="88"/>
  <c r="F8" i="88"/>
  <c r="F7" i="88"/>
  <c r="F6" i="88"/>
  <c r="F5" i="88"/>
  <c r="F18" i="88" s="1"/>
  <c r="F4" i="88" s="1"/>
  <c r="F6" i="60" s="1"/>
  <c r="F13" i="87"/>
  <c r="F11" i="87"/>
  <c r="F8" i="87"/>
  <c r="F7" i="87"/>
  <c r="F6" i="87"/>
  <c r="F9" i="87" s="1"/>
  <c r="F4" i="87" s="1"/>
  <c r="F4" i="60" s="1"/>
  <c r="F5" i="87"/>
  <c r="F7" i="86"/>
  <c r="F6" i="86"/>
  <c r="F5" i="86"/>
  <c r="F8" i="86" s="1"/>
  <c r="F4" i="86" s="1"/>
  <c r="F4" i="59" s="1"/>
  <c r="F5" i="59" s="1"/>
  <c r="F10" i="85"/>
  <c r="F9" i="85"/>
  <c r="F11" i="85" s="1"/>
  <c r="F8" i="85" s="1"/>
  <c r="F5" i="58" s="1"/>
  <c r="F7" i="85"/>
  <c r="F4" i="85" s="1"/>
  <c r="F4" i="58" s="1"/>
  <c r="F6" i="58" s="1"/>
  <c r="F6" i="85"/>
  <c r="F5" i="85"/>
  <c r="F8" i="84"/>
  <c r="F7" i="84"/>
  <c r="F6" i="84"/>
  <c r="F5" i="84"/>
  <c r="F9" i="84" s="1"/>
  <c r="F4" i="84" s="1"/>
  <c r="F6" i="57" s="1"/>
  <c r="F11" i="83"/>
  <c r="F12" i="83" s="1"/>
  <c r="F10" i="83" s="1"/>
  <c r="F5" i="57" s="1"/>
  <c r="F8" i="83"/>
  <c r="F7" i="83"/>
  <c r="F6" i="83"/>
  <c r="F5" i="83"/>
  <c r="F9" i="83" s="1"/>
  <c r="F4" i="83" s="1"/>
  <c r="F4" i="57" s="1"/>
  <c r="F8" i="82"/>
  <c r="F7" i="82"/>
  <c r="F6" i="82"/>
  <c r="F5" i="82"/>
  <c r="F9" i="82" s="1"/>
  <c r="F4" i="82" s="1"/>
  <c r="F4" i="56" s="1"/>
  <c r="F5" i="56" s="1"/>
  <c r="F10" i="81"/>
  <c r="F11" i="81" s="1"/>
  <c r="F9" i="81" s="1"/>
  <c r="F5" i="55" s="1"/>
  <c r="F7" i="81"/>
  <c r="F6" i="81"/>
  <c r="F5" i="81"/>
  <c r="F8" i="81" s="1"/>
  <c r="F4" i="81" s="1"/>
  <c r="F4" i="55" s="1"/>
  <c r="F11" i="80"/>
  <c r="F10" i="80"/>
  <c r="F12" i="80" s="1"/>
  <c r="F9" i="80" s="1"/>
  <c r="F5" i="54" s="1"/>
  <c r="F7" i="80"/>
  <c r="F6" i="80"/>
  <c r="F5" i="80"/>
  <c r="F8" i="80" s="1"/>
  <c r="F4" i="80" s="1"/>
  <c r="F4" i="54" s="1"/>
  <c r="F6" i="54" s="1"/>
  <c r="F6" i="79"/>
  <c r="F5" i="79"/>
  <c r="F11" i="79" s="1"/>
  <c r="F4" i="79" s="1"/>
  <c r="F4" i="53" s="1"/>
  <c r="F5" i="53" s="1"/>
  <c r="F13" i="78"/>
  <c r="F14" i="78" s="1"/>
  <c r="F12" i="78" s="1"/>
  <c r="F6" i="52" s="1"/>
  <c r="F10" i="78"/>
  <c r="F9" i="78"/>
  <c r="F8" i="78"/>
  <c r="F7" i="78"/>
  <c r="F6" i="78"/>
  <c r="F5" i="78"/>
  <c r="F11" i="78" s="1"/>
  <c r="F4" i="78" s="1"/>
  <c r="F5" i="52" s="1"/>
  <c r="F10" i="77"/>
  <c r="F9" i="77"/>
  <c r="F8" i="77"/>
  <c r="F11" i="77" s="1"/>
  <c r="F4" i="77" s="1"/>
  <c r="F4" i="52" s="1"/>
  <c r="F7" i="77"/>
  <c r="F6" i="77"/>
  <c r="F5" i="77"/>
  <c r="F7" i="76"/>
  <c r="F6" i="76"/>
  <c r="F5" i="76"/>
  <c r="F8" i="76" s="1"/>
  <c r="F4" i="76" s="1"/>
  <c r="F14" i="50" s="1"/>
  <c r="F7" i="75"/>
  <c r="F8" i="75" s="1"/>
  <c r="F6" i="75" s="1"/>
  <c r="F15" i="74"/>
  <c r="F14" i="74"/>
  <c r="F13" i="74"/>
  <c r="F12" i="74"/>
  <c r="F11" i="74"/>
  <c r="F10" i="74"/>
  <c r="F9" i="74"/>
  <c r="F8" i="74"/>
  <c r="F7" i="74"/>
  <c r="F6" i="74"/>
  <c r="F5" i="74"/>
  <c r="F16" i="74" s="1"/>
  <c r="F4" i="74" s="1"/>
  <c r="F9" i="48" s="1"/>
  <c r="F10" i="73"/>
  <c r="F9" i="73"/>
  <c r="F5" i="73"/>
  <c r="F13" i="72"/>
  <c r="F11" i="72"/>
  <c r="F10" i="72"/>
  <c r="F7" i="72"/>
  <c r="F6" i="72"/>
  <c r="F5" i="72"/>
  <c r="F8" i="72" s="1"/>
  <c r="F4" i="72" s="1"/>
  <c r="F6" i="48" s="1"/>
  <c r="F14" i="71"/>
  <c r="F13" i="71"/>
  <c r="F12" i="71"/>
  <c r="F11" i="71"/>
  <c r="F10" i="71"/>
  <c r="F9" i="71"/>
  <c r="F8" i="71"/>
  <c r="F15" i="71" s="1"/>
  <c r="F7" i="71" s="1"/>
  <c r="F5" i="48" s="1"/>
  <c r="F5" i="71"/>
  <c r="F6" i="71" s="1"/>
  <c r="F4" i="71" s="1"/>
  <c r="F4" i="48" s="1"/>
  <c r="F6" i="70"/>
  <c r="F5" i="70"/>
  <c r="F7" i="70" s="1"/>
  <c r="F4" i="70" s="1"/>
  <c r="F9" i="47" s="1"/>
  <c r="F9" i="69"/>
  <c r="F8" i="69"/>
  <c r="F7" i="69"/>
  <c r="F6" i="69"/>
  <c r="F5" i="69"/>
  <c r="F10" i="69" s="1"/>
  <c r="F4" i="69" s="1"/>
  <c r="F11" i="46" s="1"/>
  <c r="F11" i="68"/>
  <c r="F9" i="68"/>
  <c r="F8" i="68"/>
  <c r="F7" i="68"/>
  <c r="F6" i="68"/>
  <c r="F5" i="68"/>
  <c r="F12" i="67"/>
  <c r="F13" i="67" s="1"/>
  <c r="F11" i="67" s="1"/>
  <c r="F5" i="45" s="1"/>
  <c r="F9" i="67"/>
  <c r="F8" i="67"/>
  <c r="F7" i="67"/>
  <c r="F10" i="67" s="1"/>
  <c r="F4" i="67" s="1"/>
  <c r="F4" i="45" s="1"/>
  <c r="F6" i="45" s="1"/>
  <c r="F6" i="67"/>
  <c r="F5" i="67"/>
  <c r="F5" i="66"/>
  <c r="F4" i="66"/>
  <c r="F18" i="65"/>
  <c r="F17" i="65"/>
  <c r="F16" i="65"/>
  <c r="F15" i="65"/>
  <c r="F14" i="65"/>
  <c r="F13" i="65"/>
  <c r="F12" i="65"/>
  <c r="F11" i="65"/>
  <c r="F10" i="65"/>
  <c r="F9" i="65"/>
  <c r="F8" i="65"/>
  <c r="F7" i="65"/>
  <c r="F6" i="65"/>
  <c r="F5" i="65"/>
  <c r="F4" i="65"/>
  <c r="F14" i="64"/>
  <c r="F13" i="64"/>
  <c r="F12" i="64"/>
  <c r="F11" i="64"/>
  <c r="F17" i="64" s="1"/>
  <c r="F10" i="64"/>
  <c r="F9" i="64"/>
  <c r="F8" i="64"/>
  <c r="F7" i="64"/>
  <c r="F6" i="64"/>
  <c r="F5" i="64"/>
  <c r="F4" i="64"/>
  <c r="F4" i="63"/>
  <c r="F5" i="63" s="1"/>
  <c r="F17" i="62"/>
  <c r="F16" i="62"/>
  <c r="F15" i="62"/>
  <c r="F14" i="62"/>
  <c r="F12" i="62"/>
  <c r="F10" i="62"/>
  <c r="F9" i="62"/>
  <c r="F8" i="62"/>
  <c r="F7" i="62"/>
  <c r="F10" i="51"/>
  <c r="F9" i="51"/>
  <c r="F8" i="51"/>
  <c r="F7" i="51"/>
  <c r="F6" i="51"/>
  <c r="F5" i="51"/>
  <c r="F4" i="51"/>
  <c r="F11" i="51" s="1"/>
  <c r="F17" i="50"/>
  <c r="F16" i="50"/>
  <c r="F15" i="50"/>
  <c r="F13" i="50"/>
  <c r="F12" i="50"/>
  <c r="F11" i="50"/>
  <c r="F10" i="50"/>
  <c r="F9" i="50"/>
  <c r="F8" i="50"/>
  <c r="F7" i="50"/>
  <c r="F6" i="50"/>
  <c r="F5" i="50"/>
  <c r="F4" i="50"/>
  <c r="F18" i="48"/>
  <c r="F17" i="48"/>
  <c r="F16" i="48"/>
  <c r="F15" i="48"/>
  <c r="F14" i="48"/>
  <c r="F13" i="48"/>
  <c r="F12" i="48"/>
  <c r="F11" i="48"/>
  <c r="F8" i="47"/>
  <c r="F10" i="47" s="1"/>
  <c r="F7" i="47"/>
  <c r="F6" i="47"/>
  <c r="F5" i="47"/>
  <c r="F4" i="47"/>
  <c r="F12" i="46"/>
  <c r="F9" i="46"/>
  <c r="F8" i="46"/>
  <c r="F7" i="46"/>
  <c r="F6" i="46"/>
  <c r="F5" i="46"/>
  <c r="F4" i="46"/>
  <c r="F7" i="100"/>
  <c r="F11" i="97"/>
  <c r="F4" i="95"/>
  <c r="F5" i="91"/>
  <c r="F4" i="91"/>
  <c r="F12" i="87"/>
  <c r="F10" i="87"/>
  <c r="F5" i="75"/>
  <c r="F4" i="75"/>
  <c r="F8" i="73"/>
  <c r="F7" i="73"/>
  <c r="F6" i="73"/>
  <c r="F4" i="73"/>
  <c r="F12" i="72"/>
  <c r="F9" i="72"/>
  <c r="F10" i="68"/>
  <c r="F4" i="68"/>
  <c r="F13" i="46" l="1"/>
  <c r="F12" i="60"/>
  <c r="F18" i="50"/>
  <c r="F7" i="52"/>
  <c r="F7" i="57"/>
  <c r="F6" i="55"/>
  <c r="F8" i="61"/>
  <c r="F12" i="98"/>
</calcChain>
</file>

<file path=xl/sharedStrings.xml><?xml version="1.0" encoding="utf-8"?>
<sst xmlns="http://schemas.openxmlformats.org/spreadsheetml/2006/main" count="2023" uniqueCount="544">
  <si>
    <t>工事費内訳</t>
    <phoneticPr fontId="4"/>
  </si>
  <si>
    <t>名称</t>
  </si>
  <si>
    <t>数量</t>
  </si>
  <si>
    <t>単位</t>
  </si>
  <si>
    <t>金額</t>
  </si>
  <si>
    <t>備考</t>
  </si>
  <si>
    <t>直接工事費</t>
  </si>
  <si>
    <t>建築工事</t>
  </si>
  <si>
    <t>式</t>
  </si>
  <si>
    <t>計</t>
  </si>
  <si>
    <t>共通費</t>
  </si>
  <si>
    <t>共通仮設費</t>
  </si>
  <si>
    <t>現場管理費</t>
  </si>
  <si>
    <t>一般管理費等</t>
  </si>
  <si>
    <t>工事価格</t>
  </si>
  <si>
    <t>消費税等相当額</t>
  </si>
  <si>
    <t>消費税率 10 ％</t>
  </si>
  <si>
    <t>工事費</t>
  </si>
  <si>
    <t>京都府警察本部総務部会計課</t>
  </si>
  <si>
    <t>工事種別内訳</t>
    <phoneticPr fontId="4"/>
  </si>
  <si>
    <t>電気設備工事</t>
  </si>
  <si>
    <t>機械設備工事</t>
  </si>
  <si>
    <t>環境配慮工事</t>
  </si>
  <si>
    <t>発生材処分</t>
  </si>
  <si>
    <t>建築工事 種目別内訳</t>
    <phoneticPr fontId="4"/>
  </si>
  <si>
    <t>建物撤去工事</t>
  </si>
  <si>
    <t>電気設備工事 種目別内訳</t>
    <phoneticPr fontId="4"/>
  </si>
  <si>
    <t>待機宿舎</t>
  </si>
  <si>
    <t>電気室・ﾎﾟﾝﾌﾟ室</t>
  </si>
  <si>
    <t>浄化槽・機械室</t>
  </si>
  <si>
    <t>屋外</t>
  </si>
  <si>
    <t>機械設備工事 種目別内訳</t>
    <phoneticPr fontId="4"/>
  </si>
  <si>
    <t>宿舎</t>
  </si>
  <si>
    <t>環境配慮工事 種目別内訳</t>
    <phoneticPr fontId="4"/>
  </si>
  <si>
    <t>環境配慮解体</t>
  </si>
  <si>
    <t>発生材処分 種目別内訳</t>
    <phoneticPr fontId="4"/>
  </si>
  <si>
    <t>発生材処理</t>
  </si>
  <si>
    <t>建築工事 科目別内訳</t>
    <phoneticPr fontId="4"/>
  </si>
  <si>
    <t>建物撤去工事</t>
    <phoneticPr fontId="4"/>
  </si>
  <si>
    <t>直接仮設</t>
  </si>
  <si>
    <t>とりこわし（宿舎棟）</t>
  </si>
  <si>
    <t>とりこわし（電気・ポンプ室棟）</t>
  </si>
  <si>
    <t>とりこわし（浄化槽・機械室棟）</t>
  </si>
  <si>
    <t>とりこわし（外構）</t>
  </si>
  <si>
    <t>外構整備</t>
  </si>
  <si>
    <t>電気設備工事 科目別内訳</t>
    <phoneticPr fontId="4"/>
  </si>
  <si>
    <t>待機宿舎</t>
    <phoneticPr fontId="4"/>
  </si>
  <si>
    <t>幹線設備</t>
  </si>
  <si>
    <t>電灯設備</t>
  </si>
  <si>
    <t>構内交換設備</t>
  </si>
  <si>
    <t>テレビ共同受信設備</t>
  </si>
  <si>
    <t>火災報知設備</t>
  </si>
  <si>
    <t>電気室・ﾎﾟﾝﾌﾟ室</t>
    <phoneticPr fontId="4"/>
  </si>
  <si>
    <t>幹線・電灯設備</t>
  </si>
  <si>
    <t>浄化槽・機械室</t>
    <phoneticPr fontId="4"/>
  </si>
  <si>
    <t>屋外</t>
    <phoneticPr fontId="4"/>
  </si>
  <si>
    <t>機械設備工事 科目別内訳</t>
    <phoneticPr fontId="4"/>
  </si>
  <si>
    <t>撤去工事</t>
  </si>
  <si>
    <t>宿舎</t>
    <phoneticPr fontId="4"/>
  </si>
  <si>
    <t>環境配慮工事 科目別内訳</t>
    <phoneticPr fontId="4"/>
  </si>
  <si>
    <t>環境配慮解体</t>
    <phoneticPr fontId="4"/>
  </si>
  <si>
    <t>環境配慮改修</t>
  </si>
  <si>
    <t>発生材処分 科目別内訳</t>
    <phoneticPr fontId="4"/>
  </si>
  <si>
    <t>発生材処理</t>
    <phoneticPr fontId="4"/>
  </si>
  <si>
    <t>建築工事 中科目別内訳</t>
    <phoneticPr fontId="4"/>
  </si>
  <si>
    <t>科目名称</t>
  </si>
  <si>
    <t>中科目名称</t>
  </si>
  <si>
    <t>改修</t>
  </si>
  <si>
    <t>電気設備工事 中科目別内訳</t>
    <phoneticPr fontId="4"/>
  </si>
  <si>
    <t>電灯・動力幹線</t>
  </si>
  <si>
    <t>非常警報</t>
  </si>
  <si>
    <t>機械設備工事 中科目別内訳</t>
    <phoneticPr fontId="4"/>
  </si>
  <si>
    <t>環境配慮工事 中科目別内訳</t>
    <phoneticPr fontId="4"/>
  </si>
  <si>
    <t>撤去</t>
  </si>
  <si>
    <t>発生材処分 中科目別内訳</t>
    <phoneticPr fontId="4"/>
  </si>
  <si>
    <t>運搬</t>
  </si>
  <si>
    <t>処分</t>
  </si>
  <si>
    <t>建築工事 細目別内訳</t>
    <phoneticPr fontId="4"/>
  </si>
  <si>
    <t>摘要</t>
  </si>
  <si>
    <t>単価</t>
  </si>
  <si>
    <t>外部足場</t>
  </si>
  <si>
    <t>別紙 00-0001</t>
  </si>
  <si>
    <t>災害防止</t>
  </si>
  <si>
    <t>別紙 00-0002</t>
  </si>
  <si>
    <t>内部造作材撤去</t>
  </si>
  <si>
    <t>共同住宅 集積共</t>
  </si>
  <si>
    <t>㎡</t>
  </si>
  <si>
    <t>ﾓﾙﾀﾙ等撤去</t>
  </si>
  <si>
    <t>地上 圧砕機主体</t>
  </si>
  <si>
    <t>ｍ3</t>
  </si>
  <si>
    <t>RC造建物
躯体解体</t>
  </si>
  <si>
    <t>RC造建物
基礎解体</t>
  </si>
  <si>
    <t>集積共</t>
  </si>
  <si>
    <t>捨てｺﾝｸﾘｰﾄ解体</t>
  </si>
  <si>
    <t>大型ﾌﾞﾚｰｶｰ・圧砕機併用
集積共</t>
  </si>
  <si>
    <t>地業解体</t>
  </si>
  <si>
    <t>杭引抜撤去</t>
  </si>
  <si>
    <t>既存PC杭φ350 L=7.0m</t>
  </si>
  <si>
    <t>別紙 00-0003</t>
  </si>
  <si>
    <t>石綿除去前
先行撤去</t>
  </si>
  <si>
    <t>別紙 00-0004</t>
  </si>
  <si>
    <t>埋戻し(A種)</t>
  </si>
  <si>
    <t>- 山砂の類</t>
  </si>
  <si>
    <t>土工事</t>
  </si>
  <si>
    <t>電気埋設管撤去用</t>
  </si>
  <si>
    <t>別紙 00-0021</t>
  </si>
  <si>
    <t>鋼材ﾘｰｽ費</t>
  </si>
  <si>
    <t>30日ﾘｰｽ</t>
  </si>
  <si>
    <t>別紙 00-0042</t>
  </si>
  <si>
    <t>鋼材整備費</t>
  </si>
  <si>
    <t>別紙 00-0048</t>
  </si>
  <si>
    <t>山留支保工
ﾘｰｽ費</t>
  </si>
  <si>
    <t>別紙 00-0043</t>
  </si>
  <si>
    <t>鋼矢板施工費</t>
  </si>
  <si>
    <t>（ｱｰｽｵｰｶﾞｰ併用貧配合ﾐﾙｸ注入工）</t>
  </si>
  <si>
    <t>別紙 00-0044</t>
  </si>
  <si>
    <t>ｻｲﾚﾝﾄﾊﾟｲﾗｰ</t>
  </si>
  <si>
    <t>別紙 00-0045</t>
  </si>
  <si>
    <t>鋼矢板整備費</t>
  </si>
  <si>
    <t>別紙 00-0046</t>
  </si>
  <si>
    <t>山留支保工
架設・解体費</t>
  </si>
  <si>
    <t>25tﾗﾌﾀｰ</t>
  </si>
  <si>
    <t>別紙 00-0047</t>
  </si>
  <si>
    <t>根切り</t>
  </si>
  <si>
    <t>総掘り
山留め内･切梁</t>
  </si>
  <si>
    <t>埋戻し(B種)</t>
  </si>
  <si>
    <t>- 発生土</t>
  </si>
  <si>
    <t>除草</t>
  </si>
  <si>
    <t>ｱｽﾌｧﾙﾄ舗装撤去</t>
  </si>
  <si>
    <t>路盤砕石t=250
集積共</t>
  </si>
  <si>
    <t>PC縁石撤去</t>
  </si>
  <si>
    <t>W150 敷ﾓﾙﾀﾙ、捨てCON、地業共</t>
  </si>
  <si>
    <t>ｍ</t>
  </si>
  <si>
    <t>Ｕ字溝撤去</t>
  </si>
  <si>
    <t>U300 敷ﾓﾙﾀﾙ、捨てCON、地業共</t>
  </si>
  <si>
    <t>雨水桝撤去</t>
  </si>
  <si>
    <t>600角 捨てCON、地業共</t>
  </si>
  <si>
    <t>か所</t>
  </si>
  <si>
    <t>U240 捨てCON、地業共</t>
  </si>
  <si>
    <t>鋼製門扉撤去</t>
  </si>
  <si>
    <t>W4500×H1800
基礎ｺﾝ、捨てｺﾝ、地業共
集積共</t>
  </si>
  <si>
    <t>ﾈｯﾄﾌｪﾝｽ撤去</t>
  </si>
  <si>
    <t>H1800 直忍び付き</t>
  </si>
  <si>
    <t>掲示板撤去</t>
  </si>
  <si>
    <t>W1200×H900
集積共</t>
  </si>
  <si>
    <t>排水管撤去</t>
  </si>
  <si>
    <t>VP100、150 埋設管</t>
  </si>
  <si>
    <t>汚水桝・埋設管撤去用</t>
  </si>
  <si>
    <t>別紙 00-0027</t>
  </si>
  <si>
    <t>伐採抜根</t>
  </si>
  <si>
    <t>幹周15～25㎝未満 人力</t>
  </si>
  <si>
    <t>本</t>
  </si>
  <si>
    <t>幹周25～40㎝未満 機械併用</t>
  </si>
  <si>
    <t>幹周40～60㎝未満 機械併用</t>
  </si>
  <si>
    <t>跡整地</t>
  </si>
  <si>
    <t>機械 施工規模1000㎡</t>
  </si>
  <si>
    <t>砕石敷き</t>
  </si>
  <si>
    <t>t=80 転圧共</t>
  </si>
  <si>
    <t>防草ｼｰﾄ張り</t>
  </si>
  <si>
    <t>Ｕ形側溝</t>
  </si>
  <si>
    <t>U-300 敷ﾓﾙﾀﾙ、地業共</t>
  </si>
  <si>
    <t>ＤＰ塗り
改修仕様</t>
  </si>
  <si>
    <t>錆止工程 C塗料A</t>
  </si>
  <si>
    <t>ＤＰ塗り
改修仕様
(糸幅300mm以下)</t>
  </si>
  <si>
    <t>ｱﾙﾐ製ﾊﾟﾈﾙｹﾞｰﾄ</t>
  </si>
  <si>
    <t>W=5500(有効W＝4790)H=4500 買取</t>
  </si>
  <si>
    <t>電気設備工事 細目別内訳</t>
    <phoneticPr fontId="4"/>
  </si>
  <si>
    <t>盤類撤去</t>
  </si>
  <si>
    <t>別紙 00-0006</t>
  </si>
  <si>
    <t>配管配線類撤去</t>
  </si>
  <si>
    <t>別紙 00-0007</t>
  </si>
  <si>
    <t>接地棒撤去</t>
  </si>
  <si>
    <t>別紙 00-0008</t>
  </si>
  <si>
    <t>照明器具撤去</t>
  </si>
  <si>
    <t>別紙 00-0009</t>
  </si>
  <si>
    <t>別紙 00-0010</t>
  </si>
  <si>
    <t>配管撤去</t>
  </si>
  <si>
    <t>別紙 00-0011</t>
  </si>
  <si>
    <t>ｱﾝﾃﾅ、盤類撤去</t>
  </si>
  <si>
    <t>別紙 00-0012</t>
  </si>
  <si>
    <t>ｹｰﾌﾞﾙ撤去</t>
  </si>
  <si>
    <t>別紙 00-0013</t>
  </si>
  <si>
    <t>機器類撤去</t>
  </si>
  <si>
    <t>別紙 00-0014</t>
  </si>
  <si>
    <t>別紙 00-0015</t>
  </si>
  <si>
    <t>別紙 00-0016</t>
  </si>
  <si>
    <t>配線撤去</t>
  </si>
  <si>
    <t>別紙 00-0017</t>
  </si>
  <si>
    <t>別紙 00-0018</t>
  </si>
  <si>
    <t>別紙 00-0019</t>
  </si>
  <si>
    <t>配管、ｹｰﾌﾞﾙ撤去</t>
  </si>
  <si>
    <t>別紙 00-0020</t>
  </si>
  <si>
    <t>機械設備工事 細目別内訳</t>
    <phoneticPr fontId="4"/>
  </si>
  <si>
    <t>別紙 00-0022</t>
  </si>
  <si>
    <t>機器搬出費</t>
  </si>
  <si>
    <t>別紙 00-0023</t>
  </si>
  <si>
    <t>配管類撤去</t>
  </si>
  <si>
    <t>別紙 00-0024</t>
  </si>
  <si>
    <t>保温材撤去</t>
  </si>
  <si>
    <t>別紙 00-0025</t>
  </si>
  <si>
    <t>桝撤去</t>
  </si>
  <si>
    <t>別紙 00-0026</t>
  </si>
  <si>
    <t>既設管切断費</t>
  </si>
  <si>
    <t>別紙 00-0028</t>
  </si>
  <si>
    <t>閉塞工事</t>
  </si>
  <si>
    <t>別紙 00-0029</t>
  </si>
  <si>
    <t>ｶﾞｽ管撤去工事</t>
  </si>
  <si>
    <t>別紙 00-0030</t>
  </si>
  <si>
    <t>別紙 00-0031</t>
  </si>
  <si>
    <t>別紙 00-0032</t>
  </si>
  <si>
    <t>別紙 00-0033</t>
  </si>
  <si>
    <t>別紙 00-0034</t>
  </si>
  <si>
    <t>環境配慮工事 細目別内訳</t>
    <phoneticPr fontId="4"/>
  </si>
  <si>
    <t>【吹付材、下地調
整材除去】</t>
  </si>
  <si>
    <t>吹付材、下地調整
材除去工事</t>
  </si>
  <si>
    <t>湿式集じん装置付きﾃﾞｨｽｸｸﾞﾗｲﾝﾀﾞｰｹ</t>
  </si>
  <si>
    <t>別紙 00-0035</t>
  </si>
  <si>
    <t>【成形版除去】</t>
  </si>
  <si>
    <t>既存防水層撤去
(石綿含有材)</t>
  </si>
  <si>
    <t>ｱｽﾌｧﾙﾄ防水層 集積共
粉塵飛散防止処置共</t>
  </si>
  <si>
    <t>天井合板･ﾎﾞｰﾄﾞ
撤去</t>
  </si>
  <si>
    <t>一重張り 石綿含有
集積共</t>
  </si>
  <si>
    <t>ﾋﾞﾆﾙ床ｼｰﾄ撤去</t>
  </si>
  <si>
    <t>石綿含有 集積共</t>
  </si>
  <si>
    <t>ﾍﾞﾗﾝﾀﾞ隔壁
撤去</t>
  </si>
  <si>
    <t>【保温材】</t>
  </si>
  <si>
    <t>給水管 保温切断</t>
  </si>
  <si>
    <t>ｱｽﾍﾞｽﾄ含有材含む 配管ｴﾙﾎﾞ</t>
  </si>
  <si>
    <t>【梱包・運搬・処
分等】</t>
  </si>
  <si>
    <t>除去石綿処理</t>
  </si>
  <si>
    <t>密閉処理（二重梱包）</t>
  </si>
  <si>
    <t>発生材積込み</t>
  </si>
  <si>
    <t>石綿含有材 人力</t>
  </si>
  <si>
    <t>とりこわし
発生材運搬</t>
  </si>
  <si>
    <t>ﾀﾞﾝﾌﾟﾄﾗｯｸ 10t積級</t>
  </si>
  <si>
    <t>特別管理型
産業廃棄物処分費</t>
  </si>
  <si>
    <t>ｱｽﾍﾞｽﾄ含有材</t>
  </si>
  <si>
    <t>発生材処分費</t>
  </si>
  <si>
    <t>石綿含有材</t>
  </si>
  <si>
    <t>ｔ</t>
  </si>
  <si>
    <t>発生材処分 細目別内訳</t>
    <phoneticPr fontId="4"/>
  </si>
  <si>
    <t>ｺﾝｸﾘｰﾄ類
集積、積込み</t>
  </si>
  <si>
    <t>機 械</t>
  </si>
  <si>
    <t>内装材 積込み</t>
  </si>
  <si>
    <t>ﾊﾞｯｸﾎｳ1.4m3 ｺﾝｸﾘｰﾄ類</t>
  </si>
  <si>
    <t>ﾊﾞｯｸﾎｳ1.4m3 コン二次製品</t>
  </si>
  <si>
    <t>㎥</t>
  </si>
  <si>
    <t>ﾊﾞｯｸﾎｳ1.4m3 がれき類</t>
  </si>
  <si>
    <t>ﾊﾞｯｸﾎｳ1.4m3 ｱｽﾌｧﾙﾄ･ｺﾝｸﾘｰﾄ類</t>
  </si>
  <si>
    <t>ﾊﾞｯｸﾎｳ0.8m3 陶器・ｶﾞﾗｽ</t>
  </si>
  <si>
    <t>ﾊﾞｯｸﾎｳ1.4m3 廃ﾌﾟﾗ（ｼｰﾘﾝｸﾞ・ｳﾚﾀﾝ</t>
  </si>
  <si>
    <t>ﾊﾞｯｸﾎｳ0.13m3 廃ﾌﾟﾗ(塩ﾋﾞ等)</t>
  </si>
  <si>
    <t>ﾊﾞｯｸﾎｳ1.4m3 石こうﾎﾞｰﾄﾞ類</t>
  </si>
  <si>
    <t>ﾊﾞｯｸﾎｳ1.4m3 木材類</t>
  </si>
  <si>
    <t>とりこわし</t>
  </si>
  <si>
    <t>ﾀﾞﾝﾌﾟﾄﾗｯｸ 2t積級</t>
  </si>
  <si>
    <t>発生材運搬</t>
  </si>
  <si>
    <t>人力積込 廃蛍光灯類</t>
  </si>
  <si>
    <t>がれき類</t>
  </si>
  <si>
    <t>コン二次製品</t>
  </si>
  <si>
    <t>ｺﾝｸﾘｰﾄ類（CON、Mo）</t>
  </si>
  <si>
    <t>ｱｽﾌｧﾙﾄｺﾝｸﾘｰﾄ</t>
  </si>
  <si>
    <t>陶器・ｶﾞﾗｽ類</t>
  </si>
  <si>
    <t>廃ﾌﾟﾗｽﾁｯｸ類（ｼｰﾘﾝｸﾞ等）</t>
  </si>
  <si>
    <t>廃ﾌﾟﾗｽﾁｯｸ類（ｳﾚﾀﾝﾌｫｰﾑ等）</t>
  </si>
  <si>
    <t>廃ﾌﾟﾗｽﾁｯｸ類（塩ﾋﾞ等）</t>
  </si>
  <si>
    <t>ﾎﾞｰﾄﾞ類</t>
  </si>
  <si>
    <t>木材類</t>
  </si>
  <si>
    <t>廃蛍光灯</t>
  </si>
  <si>
    <t>kg</t>
  </si>
  <si>
    <t>ﾅｹﾞｯﾄ処理</t>
  </si>
  <si>
    <t>ｽｸﾗｯﾌﾟ</t>
  </si>
  <si>
    <t>鉄 H2</t>
  </si>
  <si>
    <t>ｽﾃﾝﾚｽ 13Cr</t>
  </si>
  <si>
    <t>ｱﾙﾐ 込みｶﾞﾗ</t>
  </si>
  <si>
    <t>銅 2号銅線</t>
  </si>
  <si>
    <t>建築工事 別紙明細</t>
    <phoneticPr fontId="4"/>
  </si>
  <si>
    <t>枠組本足場
(手すり先行方式)</t>
  </si>
  <si>
    <t>建枠 90 0×1700 布枠500+240</t>
  </si>
  <si>
    <t>建枠 60 0×1700 布枠500×1枚</t>
  </si>
  <si>
    <t>安全手すり
(手すり先行方式)</t>
  </si>
  <si>
    <t>掛払い・賃料・基本料・運搬共
4.5か月</t>
  </si>
  <si>
    <t>単管一本足場</t>
  </si>
  <si>
    <t>掛払い・ 賃料・基本料・運搬共</t>
  </si>
  <si>
    <t>階段足場</t>
  </si>
  <si>
    <t>掛払い・賃料・基本料・運搬共
1.5か月</t>
  </si>
  <si>
    <t>防音ｼｰﾄ張り</t>
  </si>
  <si>
    <t>ｵｰｶﾞｰｹｰｼﾝｸﾞ工法
既存PC杭φ350 L=7.0m</t>
  </si>
  <si>
    <t>掘削杭頭出し</t>
  </si>
  <si>
    <t>GL-2.0まで</t>
  </si>
  <si>
    <t>杭縁切削孔</t>
  </si>
  <si>
    <t>φ600 GL-8.2～9.0ｍ</t>
  </si>
  <si>
    <t>杭引抜手間</t>
  </si>
  <si>
    <t>杭小割切断手間</t>
  </si>
  <si>
    <t>場内残置</t>
  </si>
  <si>
    <t>埋戻し貧配合注入
材</t>
  </si>
  <si>
    <t>L=7.0m</t>
  </si>
  <si>
    <t>杭抜工事
重機組立・解体費</t>
  </si>
  <si>
    <t>杭抜工事
機材・重機運搬費</t>
  </si>
  <si>
    <t>ドレン撤去</t>
  </si>
  <si>
    <t>たてどい撤去</t>
  </si>
  <si>
    <t>VP管 集積共</t>
  </si>
  <si>
    <t>ｱﾙﾐ製手すり撤去</t>
  </si>
  <si>
    <t>物干し金物撤去</t>
  </si>
  <si>
    <t>床ﾀｲﾙ撤去</t>
  </si>
  <si>
    <t>下地ﾓﾙﾀﾙ共 集積共</t>
  </si>
  <si>
    <t>小規模土工
-</t>
  </si>
  <si>
    <t>鋼材費
SP4型 9.5ｍ
賃貸料</t>
  </si>
  <si>
    <t>60枚 76.1kg/枚 570ｍ</t>
  </si>
  <si>
    <t>整備費</t>
  </si>
  <si>
    <t>基地積込費</t>
  </si>
  <si>
    <t>基地荷下費</t>
  </si>
  <si>
    <t>工場残土処理費</t>
  </si>
  <si>
    <t>持込運賃</t>
  </si>
  <si>
    <t>ﾄﾚｰﾗｰ</t>
  </si>
  <si>
    <t>引取運賃</t>
  </si>
  <si>
    <t>損耗発生見込</t>
  </si>
  <si>
    <t>ﾘｰｽ料</t>
  </si>
  <si>
    <t>山留主材</t>
  </si>
  <si>
    <t>山留部材</t>
  </si>
  <si>
    <t>ｷﾘﾝｼﾞｬｯｷ</t>
  </si>
  <si>
    <t>台</t>
  </si>
  <si>
    <t>先行掘削
（ｱｰｽｵｰｶﾞｰ併用貧配合ﾐﾙｸ注入工）</t>
  </si>
  <si>
    <t>ｽｸﾘｭｰ削孔</t>
  </si>
  <si>
    <t>重機・機械損料</t>
  </si>
  <si>
    <t>日</t>
  </si>
  <si>
    <t>組立解体費</t>
  </si>
  <si>
    <t>重機運搬費</t>
  </si>
  <si>
    <t>鋼矢板圧入</t>
  </si>
  <si>
    <t>初期反力圧入</t>
  </si>
  <si>
    <t>境界側</t>
  </si>
  <si>
    <t>反対側</t>
  </si>
  <si>
    <t>鋼矢板引抜費</t>
  </si>
  <si>
    <t>売切り部材</t>
  </si>
  <si>
    <t>ﾌﾞﾗｹｯﾄ</t>
  </si>
  <si>
    <t>個</t>
  </si>
  <si>
    <t>ﾎﾞﾙﾄ類</t>
  </si>
  <si>
    <t>架設費</t>
  </si>
  <si>
    <t>解体費</t>
  </si>
  <si>
    <t>腹起し背面裏込め
工賃</t>
  </si>
  <si>
    <t>材工共</t>
  </si>
  <si>
    <t>電気設備工事 別紙明細</t>
    <phoneticPr fontId="4"/>
  </si>
  <si>
    <t>電灯盤(L-1)
撤去</t>
  </si>
  <si>
    <t>屋内壁掛型 再使用しない</t>
  </si>
  <si>
    <t>面</t>
  </si>
  <si>
    <t>電灯盤(L-2)
撤去</t>
  </si>
  <si>
    <t>電灯盤(L-3)
撤去</t>
  </si>
  <si>
    <t>電灯盤(L-4)
撤去</t>
  </si>
  <si>
    <t>各戸分電盤(L-N)
撤去</t>
  </si>
  <si>
    <t>屋内埋込型 再使用しない</t>
  </si>
  <si>
    <t>ﾒｰﾀｰ取付板
撤去</t>
  </si>
  <si>
    <t>再使用しない</t>
  </si>
  <si>
    <t>600V絶縁電線
撤去</t>
  </si>
  <si>
    <t>5.5mm2 × 1本 再使用しない</t>
  </si>
  <si>
    <t>22mm2 × 1本 再使用しない</t>
  </si>
  <si>
    <t>60mm2 × 1本 再使用しない</t>
  </si>
  <si>
    <t>150mm2 × 1本 再使用しない</t>
  </si>
  <si>
    <t>薄鋼電線管
撤去</t>
  </si>
  <si>
    <t>(C51) 再使用しない</t>
  </si>
  <si>
    <t>(C75) 再使用しない</t>
  </si>
  <si>
    <t>接地棒撤去
ED、ED(ELB)</t>
  </si>
  <si>
    <t>蛍光灯器具
撤去</t>
  </si>
  <si>
    <t>露出形 FL 20W ×1</t>
  </si>
  <si>
    <t>露出形 FL 10W ×1</t>
  </si>
  <si>
    <t>白熱灯器具</t>
  </si>
  <si>
    <t>ｼｰﾘﾝｸﾞﾗｲﾄ 再使用しない</t>
  </si>
  <si>
    <t>ﾌﾞﾗｹｯﾄﾗｲﾄ 再使用しない</t>
  </si>
  <si>
    <t>主端子盤
撤去</t>
  </si>
  <si>
    <t>40P 再使用しない</t>
  </si>
  <si>
    <t>端子盤
撤去</t>
  </si>
  <si>
    <t>10P 再使用しない</t>
  </si>
  <si>
    <t>20P 再使用しない</t>
  </si>
  <si>
    <t>(C25) 再使用しない</t>
  </si>
  <si>
    <t>(C31) 再使用しない</t>
  </si>
  <si>
    <t>ｱﾝﾃﾅ 撤去</t>
  </si>
  <si>
    <t>UHF20EL×2、VHF12EL×1
再使用しない 2段</t>
  </si>
  <si>
    <t>組</t>
  </si>
  <si>
    <t>ｱﾝﾃﾅﾏｽﾄ 撤去</t>
  </si>
  <si>
    <t>ﾍﾞｰｽ共 建物上</t>
  </si>
  <si>
    <t>基</t>
  </si>
  <si>
    <t>ﾃﾚﾋﾞ機器収納盤
撤去</t>
  </si>
  <si>
    <t>600W×800H×150D 再使用しない</t>
  </si>
  <si>
    <t>同軸ｹｰﾌﾞﾙ
撤去</t>
  </si>
  <si>
    <t>5C-FB 再使用しない</t>
  </si>
  <si>
    <t>非常警報主装置
撤去</t>
  </si>
  <si>
    <t>5L 再使用しない</t>
  </si>
  <si>
    <t>発信機 撤去</t>
  </si>
  <si>
    <t>表示灯 撤去</t>
  </si>
  <si>
    <t>ﾍﾞﾙ 撤去</t>
  </si>
  <si>
    <t>電灯盤(L-0)
撤去</t>
  </si>
  <si>
    <t>動力盤(M-0)
撤去</t>
  </si>
  <si>
    <t>屋外壁掛型 再使用しない</t>
  </si>
  <si>
    <t>動力盤(M-1)
撤去</t>
  </si>
  <si>
    <t>接地端子盤
撤去</t>
  </si>
  <si>
    <t>1.6㎜ × 1本 再使用しない</t>
  </si>
  <si>
    <t>30mm2 × 1本 再使用しない</t>
  </si>
  <si>
    <t>325mm2 × 1本 再使用しない</t>
  </si>
  <si>
    <t>動力盤(M-2)
撤去</t>
  </si>
  <si>
    <t>ﾌﾟﾙﾎﾞｯｸｽ 撤去</t>
  </si>
  <si>
    <t>300×300×200 再使用しない</t>
  </si>
  <si>
    <t>白熱灯器具
撤去</t>
  </si>
  <si>
    <t>露出形 FL 40W ×1</t>
  </si>
  <si>
    <t>600VCVｹｰﾌﾞﾙ
撤去</t>
  </si>
  <si>
    <t>厚鋼電線管
撤去</t>
  </si>
  <si>
    <t>(G22) 再使用しない</t>
  </si>
  <si>
    <t>(G104) 再使用しない</t>
  </si>
  <si>
    <t>機械設備工事 別紙明細</t>
    <phoneticPr fontId="4"/>
  </si>
  <si>
    <t>受水槽
撤去</t>
  </si>
  <si>
    <t>ｱﾙﾐﾊﾟﾈﾙ複合板 15m3</t>
  </si>
  <si>
    <t>高架水槽
撤去</t>
  </si>
  <si>
    <t>ｱﾙﾐﾊﾟﾈﾙ複合板 6m3</t>
  </si>
  <si>
    <t>揚水ﾎﾟﾝﾌﾟ
撤去</t>
  </si>
  <si>
    <t>渦巻ﾎﾟﾝﾌﾟ 50A 2.2kw</t>
  </si>
  <si>
    <t>換気扇
撤去</t>
  </si>
  <si>
    <t>搬出費(撤去用)</t>
  </si>
  <si>
    <t>複数搬出 100㎏/m3未満</t>
  </si>
  <si>
    <t>搬出費
(揚重機除く)
(撤去用)</t>
  </si>
  <si>
    <t>0.5t</t>
  </si>
  <si>
    <t>0.2t</t>
  </si>
  <si>
    <t>硬 質塩ﾋﾞﾗｲﾆﾝｸﾞ鋼
管 撤去</t>
  </si>
  <si>
    <t>SGP-VA 100A 屋外配管
再使用しない</t>
  </si>
  <si>
    <t>SGP-VA 50A 屋外配管
再使用しない</t>
  </si>
  <si>
    <t>SGP-VA 50A 便所・機械室
再使用しない</t>
  </si>
  <si>
    <t>SGP-VA 40A 地中配管
再使用しない</t>
  </si>
  <si>
    <t>SGP-VA 40A 屋外配管
再使用しない</t>
  </si>
  <si>
    <t>SGP-VA 20A 地中配管
再使用しない</t>
  </si>
  <si>
    <t>SGP-VA 15A 屋外配管
再使用しない</t>
  </si>
  <si>
    <t>硬 質ﾎﾟﾘ塩化ﾋﾞﾆﾙ
管 撤去</t>
  </si>
  <si>
    <t>VP 50A 屋外配管
再使用 しない</t>
  </si>
  <si>
    <t>VP 100A
再使用し 地中配管
ない</t>
  </si>
  <si>
    <t>VP 125A
再使用し 地中配管
ない</t>
  </si>
  <si>
    <t>ｹﾞｰﾄ弁
撤去</t>
  </si>
  <si>
    <t>ﾌﾚｷｼﾌﾞﾙｼﾞｮｲﾝﾄ
撤去</t>
  </si>
  <si>
    <t>散水栓（箱共）
撤去</t>
  </si>
  <si>
    <t>給水管 保温撤去</t>
  </si>
  <si>
    <t>屋外露出,浴室 ｶﾗｰ亜鉛鉄板</t>
  </si>
  <si>
    <t>機械室,書庫,倉庫 ｱﾙﾐｶﾞﾗｽ化粧原紙</t>
  </si>
  <si>
    <t>ｲﾝﾊﾞｰﾄ桝
撤去</t>
  </si>
  <si>
    <t>配管切断
(樹脂管類)
･手間のみ</t>
  </si>
  <si>
    <t>配管切断 75A 保温無</t>
  </si>
  <si>
    <t>配管切断 100A 保温無</t>
  </si>
  <si>
    <t>配管切断
(鋼管類)
･手間のみ</t>
  </si>
  <si>
    <t>配管切断 40A 保温有</t>
  </si>
  <si>
    <t>配管切断 125A 保温無</t>
  </si>
  <si>
    <t>給水管閉塞</t>
  </si>
  <si>
    <t>ﾌﾟﾗｸﾞ止め 40A</t>
  </si>
  <si>
    <t>排水管閉塞</t>
  </si>
  <si>
    <t>ｷｬｯﾌﾟ止め 125A</t>
  </si>
  <si>
    <t>基本工事費</t>
  </si>
  <si>
    <t>ﾏｲｺﾝﾒｰﾀｰ取外し</t>
  </si>
  <si>
    <t>規格3</t>
  </si>
  <si>
    <t>規格4</t>
  </si>
  <si>
    <t>規格5</t>
  </si>
  <si>
    <t>規格6</t>
  </si>
  <si>
    <t>埋設管
撤去</t>
  </si>
  <si>
    <t>機械掘削加算</t>
  </si>
  <si>
    <t>ｶﾞｽﾊﾟｰｼﾞ基本費</t>
  </si>
  <si>
    <t>ｶﾞｽﾊﾟｰｼﾞ系統費</t>
  </si>
  <si>
    <t>大便器撤去</t>
  </si>
  <si>
    <t>ﾀﾝｸ式 再使用しない</t>
  </si>
  <si>
    <t>手洗器撤去</t>
  </si>
  <si>
    <t>化粧棚撤去</t>
  </si>
  <si>
    <t>陶器製 再使用しない</t>
  </si>
  <si>
    <t>鏡撤去</t>
  </si>
  <si>
    <t>枚</t>
  </si>
  <si>
    <t>横水栓
撤去</t>
  </si>
  <si>
    <t>万能ﾎｰﾑ水栓
撤去</t>
  </si>
  <si>
    <t>ﾊﾞﾗﾝｽ釜
撤去</t>
  </si>
  <si>
    <t>一口ｶﾞｽｺｯｸ</t>
  </si>
  <si>
    <t>瞬間湯沸器
撤去</t>
  </si>
  <si>
    <t>SGP-VA 50A PS内配管
再使用しない</t>
  </si>
  <si>
    <t>VP 75A
再使用 屋内一般配管
しない</t>
  </si>
  <si>
    <t>VP 100A
再使用し PS内配管
ない</t>
  </si>
  <si>
    <t>配管用炭素鋼鋼管
（白）（ｶﾞｽ管）
撤去</t>
  </si>
  <si>
    <t>50A PS内配管
再使 用しない</t>
  </si>
  <si>
    <t>天井内,ﾊﾟｲﾌﾟｼｬﾌﾄ内 ｱﾙﾐｶﾞﾗｽｸﾛｽ</t>
  </si>
  <si>
    <t>配管切断 25A 保温有</t>
  </si>
  <si>
    <t>配管切断 50A 保温有</t>
  </si>
  <si>
    <t>配管切断 50A 保温無</t>
  </si>
  <si>
    <t>配管切断 25A 保温無</t>
  </si>
  <si>
    <t>環境配慮工事 別紙明細</t>
    <phoneticPr fontId="4"/>
  </si>
  <si>
    <t>【仮設工事費】</t>
  </si>
  <si>
    <t>機器資材
搬入・搬出</t>
  </si>
  <si>
    <t>4tﾕﾆｯｸ</t>
  </si>
  <si>
    <t>機械設置箇所
屋根囲い</t>
  </si>
  <si>
    <t>看板表示･ｶﾗｰｺｰﾝ
等</t>
  </si>
  <si>
    <t>小計</t>
  </si>
  <si>
    <t>【養生費】</t>
  </si>
  <si>
    <t>壁養生</t>
  </si>
  <si>
    <t>ﾌﾟﾗｽﾁｯｸｼｰﾄ張り0.1mm</t>
  </si>
  <si>
    <t>作業床養生</t>
  </si>
  <si>
    <t>ﾌﾟﾗｽﾁｯｸｼｰﾄ張り0.15mm 2重</t>
  </si>
  <si>
    <t>天井養生</t>
  </si>
  <si>
    <t>【機器損料】</t>
  </si>
  <si>
    <t>発電機</t>
  </si>
  <si>
    <t>45KVA 燃料共</t>
  </si>
  <si>
    <t>月</t>
  </si>
  <si>
    <t>ｺﾝﾌﾟﾚｯｻｰ</t>
  </si>
  <si>
    <t>7.5馬力 ｱﾌﾀｰｸｰﾗｰ付き燃料共</t>
  </si>
  <si>
    <t>【保護具等
消耗品費】</t>
  </si>
  <si>
    <t>保護衣・ﾏｽｸ等</t>
  </si>
  <si>
    <t>各種ﾌｨﾙﾀｰ類</t>
  </si>
  <si>
    <t>【石綿除去費】</t>
  </si>
  <si>
    <t>除去工事
(外壁・軒天)
下地調整材共</t>
  </si>
  <si>
    <t>湿式集じん装置付きﾃﾞｨｽｸｸﾞﾗﾝﾀﾞｰｹﾚ
ﾝ工法</t>
  </si>
  <si>
    <t>除去工事
(内壁)
下地調整材共</t>
  </si>
  <si>
    <t>【廃棄物処理費】</t>
  </si>
  <si>
    <t>袋詰め</t>
  </si>
  <si>
    <t>特別管理型
産業廃棄物運搬費</t>
  </si>
  <si>
    <t>6t車</t>
  </si>
  <si>
    <t>【書類作成費】</t>
  </si>
  <si>
    <t>計画書類作成費</t>
  </si>
  <si>
    <t>工事報告書作成費</t>
  </si>
  <si>
    <t>【石綿作業
主任者】</t>
  </si>
  <si>
    <t>石綿作業主任者</t>
  </si>
  <si>
    <t>共通仮設費(積上) 明細</t>
    <phoneticPr fontId="4"/>
  </si>
  <si>
    <t>成形鋼板塀</t>
  </si>
  <si>
    <t>ｶﾗｰ H=3000 買取</t>
  </si>
  <si>
    <t>養生ｼｰﾄ張り</t>
  </si>
  <si>
    <t>成型鋼板塀（買取）へｼｰﾄ掛け</t>
  </si>
  <si>
    <t>別紙 00-0036</t>
  </si>
  <si>
    <t>仮囲い</t>
  </si>
  <si>
    <t>仮囲い鉄板 H=3000</t>
  </si>
  <si>
    <t>仮設物費</t>
  </si>
  <si>
    <t>養生敷き鉄板</t>
  </si>
  <si>
    <t>別紙 00-0037</t>
  </si>
  <si>
    <t>安全管理・合図等
の要因</t>
  </si>
  <si>
    <t>別紙 00-0038</t>
  </si>
  <si>
    <t>とりこわし機械
運搬</t>
  </si>
  <si>
    <t>別紙 00-0039</t>
  </si>
  <si>
    <t>土工機械運搬</t>
  </si>
  <si>
    <t>別紙 00-0040</t>
  </si>
  <si>
    <t>楊重費</t>
  </si>
  <si>
    <t>別紙 00-0041</t>
  </si>
  <si>
    <t>共通仮設費(積上) 共通費別紙明細</t>
    <phoneticPr fontId="4"/>
  </si>
  <si>
    <t>掛払い・賃料・基本料・運搬共</t>
  </si>
  <si>
    <t>仮設鉄板敷</t>
  </si>
  <si>
    <t>掛払い・ 賃料・整備費・運搬共</t>
  </si>
  <si>
    <t>交通誘導警備員Ｂ</t>
  </si>
  <si>
    <t>人日</t>
  </si>
  <si>
    <t>とりこわし機械
運搬
(ﾍﾞｰｽﾏｼﾝ,ﾊﾞｯｸﾎｳ)</t>
  </si>
  <si>
    <t>排出ｶﾞｽ対策型 油圧式ｸﾛｰﾗ型0.8m3</t>
  </si>
  <si>
    <t>往復</t>
  </si>
  <si>
    <t>根切り、埋戻し
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</si>
</sst>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color theme="1"/>
      <name val="游ゴシック"/>
      <family val="2"/>
      <scheme val="minor"/>
    </font>
    <font>
      <sz val="6.5"/>
      <color theme="1"/>
      <name val="MS UI Gothic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right"/>
    </xf>
    <xf numFmtId="0" fontId="5" fillId="0" borderId="1" xfId="1" applyFont="1" applyBorder="1"/>
    <xf numFmtId="0" fontId="1" fillId="0" borderId="2" xfId="1" applyBorder="1"/>
    <xf numFmtId="0" fontId="1" fillId="0" borderId="3" xfId="1" applyBorder="1"/>
    <xf numFmtId="0" fontId="6" fillId="0" borderId="4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4" xfId="1" applyBorder="1"/>
    <xf numFmtId="0" fontId="1" fillId="0" borderId="4" xfId="1" applyBorder="1" applyAlignment="1">
      <alignment horizontal="right"/>
    </xf>
  </cellXfs>
  <cellStyles count="2">
    <cellStyle name="標準" xfId="0" builtinId="0"/>
    <cellStyle name="標準 2" xfId="1" xr:uid="{AA37FB54-1B17-4CB9-A3C1-56F7482330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6960-923B-493C-A4BD-D3166DB62D8B}">
  <sheetPr codeName="Sheet3"/>
  <dimension ref="A1:E18"/>
  <sheetViews>
    <sheetView tabSelected="1" zoomScale="140" zoomScaleNormal="140" workbookViewId="0">
      <selection activeCell="A5" sqref="A5:E15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0</v>
      </c>
      <c r="E1" s="3">
        <v>1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6</v>
      </c>
      <c r="B4" s="9"/>
      <c r="C4" s="9"/>
      <c r="D4" s="9"/>
      <c r="E4" s="10"/>
    </row>
    <row r="5" spans="1:5" ht="21.6" customHeight="1" x14ac:dyDescent="0.45">
      <c r="A5" s="9" t="s">
        <v>7</v>
      </c>
      <c r="B5" s="9">
        <v>1</v>
      </c>
      <c r="C5" s="9" t="s">
        <v>8</v>
      </c>
      <c r="D5" s="9"/>
      <c r="E5" s="10"/>
    </row>
    <row r="6" spans="1:5" ht="21.6" customHeight="1" x14ac:dyDescent="0.45">
      <c r="A6" s="9" t="s">
        <v>9</v>
      </c>
      <c r="B6" s="9"/>
      <c r="C6" s="9"/>
      <c r="D6" s="9"/>
      <c r="E6" s="10"/>
    </row>
    <row r="7" spans="1:5" ht="21.6" customHeight="1" x14ac:dyDescent="0.45">
      <c r="A7" s="9" t="s">
        <v>10</v>
      </c>
      <c r="B7" s="9"/>
      <c r="C7" s="9"/>
      <c r="D7" s="9"/>
      <c r="E7" s="10"/>
    </row>
    <row r="8" spans="1:5" ht="21.6" customHeight="1" x14ac:dyDescent="0.45">
      <c r="A8" s="9" t="s">
        <v>11</v>
      </c>
      <c r="B8" s="9">
        <v>1</v>
      </c>
      <c r="C8" s="9" t="s">
        <v>8</v>
      </c>
      <c r="D8" s="9"/>
      <c r="E8" s="10"/>
    </row>
    <row r="9" spans="1:5" ht="21.6" customHeight="1" x14ac:dyDescent="0.45">
      <c r="A9" s="9" t="s">
        <v>12</v>
      </c>
      <c r="B9" s="9">
        <v>1</v>
      </c>
      <c r="C9" s="9" t="s">
        <v>8</v>
      </c>
      <c r="D9" s="9"/>
      <c r="E9" s="10"/>
    </row>
    <row r="10" spans="1:5" ht="21.6" customHeight="1" x14ac:dyDescent="0.45">
      <c r="A10" s="9" t="s">
        <v>13</v>
      </c>
      <c r="B10" s="9">
        <v>1</v>
      </c>
      <c r="C10" s="9" t="s">
        <v>8</v>
      </c>
      <c r="D10" s="9"/>
      <c r="E10" s="10"/>
    </row>
    <row r="11" spans="1:5" ht="21.6" customHeight="1" x14ac:dyDescent="0.45">
      <c r="A11" s="9" t="s">
        <v>9</v>
      </c>
      <c r="B11" s="9"/>
      <c r="C11" s="9"/>
      <c r="D11" s="9"/>
      <c r="E11" s="10"/>
    </row>
    <row r="12" spans="1:5" ht="21.6" customHeight="1" x14ac:dyDescent="0.45">
      <c r="A12" s="9" t="s">
        <v>14</v>
      </c>
      <c r="B12" s="9">
        <v>1</v>
      </c>
      <c r="C12" s="9" t="s">
        <v>8</v>
      </c>
      <c r="D12" s="9"/>
      <c r="E12" s="10"/>
    </row>
    <row r="13" spans="1:5" ht="21.6" customHeight="1" x14ac:dyDescent="0.45">
      <c r="A13" s="9" t="s">
        <v>15</v>
      </c>
      <c r="B13" s="9">
        <v>1</v>
      </c>
      <c r="C13" s="9" t="s">
        <v>8</v>
      </c>
      <c r="D13" s="9"/>
      <c r="E13" s="10" t="s">
        <v>16</v>
      </c>
    </row>
    <row r="14" spans="1:5" ht="21.6" customHeight="1" x14ac:dyDescent="0.45">
      <c r="A14" s="9" t="s">
        <v>17</v>
      </c>
      <c r="B14" s="9">
        <v>1</v>
      </c>
      <c r="C14" s="9" t="s">
        <v>8</v>
      </c>
      <c r="D14" s="9"/>
      <c r="E14" s="10"/>
    </row>
    <row r="15" spans="1:5" ht="21.6" customHeight="1" x14ac:dyDescent="0.45">
      <c r="A15" s="9"/>
      <c r="B15" s="9" t="s">
        <v>18</v>
      </c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2AB8-0D60-4B42-9B01-47088EFF9361}">
  <sheetPr codeName="Sheet4"/>
  <dimension ref="A1:E18"/>
  <sheetViews>
    <sheetView zoomScale="140" zoomScaleNormal="140" workbookViewId="0">
      <selection activeCell="A5" sqref="A5:E10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19</v>
      </c>
      <c r="E1" s="3">
        <v>2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7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20</v>
      </c>
      <c r="B5" s="9">
        <v>1</v>
      </c>
      <c r="C5" s="9" t="s">
        <v>8</v>
      </c>
      <c r="D5" s="9"/>
      <c r="E5" s="10"/>
    </row>
    <row r="6" spans="1:5" ht="21.6" customHeight="1" x14ac:dyDescent="0.45">
      <c r="A6" s="9" t="s">
        <v>21</v>
      </c>
      <c r="B6" s="9">
        <v>1</v>
      </c>
      <c r="C6" s="9" t="s">
        <v>8</v>
      </c>
      <c r="D6" s="9"/>
      <c r="E6" s="10"/>
    </row>
    <row r="7" spans="1:5" ht="21.6" customHeight="1" x14ac:dyDescent="0.45">
      <c r="A7" s="9" t="s">
        <v>22</v>
      </c>
      <c r="B7" s="9">
        <v>1</v>
      </c>
      <c r="C7" s="9" t="s">
        <v>8</v>
      </c>
      <c r="D7" s="9"/>
      <c r="E7" s="10"/>
    </row>
    <row r="8" spans="1:5" ht="21.6" customHeight="1" x14ac:dyDescent="0.45">
      <c r="A8" s="9" t="s">
        <v>23</v>
      </c>
      <c r="B8" s="9">
        <v>1</v>
      </c>
      <c r="C8" s="9" t="s">
        <v>8</v>
      </c>
      <c r="D8" s="9"/>
      <c r="E8" s="10"/>
    </row>
    <row r="9" spans="1:5" ht="21.6" customHeight="1" x14ac:dyDescent="0.45">
      <c r="A9" s="9" t="s">
        <v>9</v>
      </c>
      <c r="B9" s="9"/>
      <c r="C9" s="9"/>
      <c r="D9" s="9"/>
      <c r="E9" s="10"/>
    </row>
    <row r="10" spans="1:5" ht="21.6" customHeight="1" x14ac:dyDescent="0.45">
      <c r="A10" s="9"/>
      <c r="B10" s="9" t="s">
        <v>18</v>
      </c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3F4D-833C-4335-98F9-CE838FBB42BE}">
  <sheetPr codeName="Sheet5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24</v>
      </c>
      <c r="E1" s="3">
        <v>3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25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F0C1-E7FB-4B68-AFC6-607E6F3AAC06}">
  <sheetPr codeName="Sheet6"/>
  <dimension ref="A1:E18"/>
  <sheetViews>
    <sheetView zoomScale="140" zoomScaleNormal="140" workbookViewId="0">
      <selection activeCell="A5" sqref="A5:E9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26</v>
      </c>
      <c r="E1" s="3">
        <v>4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27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28</v>
      </c>
      <c r="B5" s="9">
        <v>1</v>
      </c>
      <c r="C5" s="9" t="s">
        <v>8</v>
      </c>
      <c r="D5" s="9"/>
      <c r="E5" s="10"/>
    </row>
    <row r="6" spans="1:5" ht="21.6" customHeight="1" x14ac:dyDescent="0.45">
      <c r="A6" s="9" t="s">
        <v>29</v>
      </c>
      <c r="B6" s="9">
        <v>1</v>
      </c>
      <c r="C6" s="9" t="s">
        <v>8</v>
      </c>
      <c r="D6" s="9"/>
      <c r="E6" s="10"/>
    </row>
    <row r="7" spans="1:5" ht="21.6" customHeight="1" x14ac:dyDescent="0.45">
      <c r="A7" s="9" t="s">
        <v>30</v>
      </c>
      <c r="B7" s="9">
        <v>1</v>
      </c>
      <c r="C7" s="9" t="s">
        <v>8</v>
      </c>
      <c r="D7" s="9"/>
      <c r="E7" s="10"/>
    </row>
    <row r="8" spans="1:5" ht="21.6" customHeight="1" x14ac:dyDescent="0.45">
      <c r="A8" s="9" t="s">
        <v>9</v>
      </c>
      <c r="B8" s="9"/>
      <c r="C8" s="9"/>
      <c r="D8" s="9"/>
      <c r="E8" s="10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4EBF-D577-4636-8CB8-E88021F36394}">
  <sheetPr codeName="Sheet7"/>
  <dimension ref="A1:E18"/>
  <sheetViews>
    <sheetView zoomScale="140" zoomScaleNormal="140" workbookViewId="0">
      <selection activeCell="A5" sqref="A5:E7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31</v>
      </c>
      <c r="E1" s="3">
        <v>5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30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32</v>
      </c>
      <c r="B5" s="9">
        <v>1</v>
      </c>
      <c r="C5" s="9" t="s">
        <v>8</v>
      </c>
      <c r="D5" s="9"/>
      <c r="E5" s="10"/>
    </row>
    <row r="6" spans="1:5" ht="21.6" customHeight="1" x14ac:dyDescent="0.45">
      <c r="A6" s="9" t="s">
        <v>9</v>
      </c>
      <c r="B6" s="9"/>
      <c r="C6" s="9"/>
      <c r="D6" s="9"/>
      <c r="E6" s="10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16B0-5E44-4631-B650-0DE59AF2FCA4}">
  <sheetPr codeName="Sheet8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33</v>
      </c>
      <c r="E1" s="3">
        <v>6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34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E376-A0B6-489C-954A-DB91DF14735F}">
  <sheetPr codeName="Sheet9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35</v>
      </c>
      <c r="E1" s="3">
        <v>7</v>
      </c>
    </row>
    <row r="2" spans="1:5" ht="10.199999999999999" customHeight="1" x14ac:dyDescent="0.45">
      <c r="A2" s="4"/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36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 t="s">
        <v>18</v>
      </c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CEA4-ED83-459B-9571-32FB09411133}">
  <sheetPr codeName="Sheet10"/>
  <dimension ref="A1:E18"/>
  <sheetViews>
    <sheetView zoomScale="140" zoomScaleNormal="140" workbookViewId="0">
      <selection activeCell="A5" sqref="A5:E11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37</v>
      </c>
      <c r="E1" s="3">
        <v>8</v>
      </c>
    </row>
    <row r="2" spans="1:5" ht="10.199999999999999" customHeight="1" x14ac:dyDescent="0.45">
      <c r="A2" s="4" t="s">
        <v>38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39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40</v>
      </c>
      <c r="B5" s="9">
        <v>1</v>
      </c>
      <c r="C5" s="9" t="s">
        <v>8</v>
      </c>
      <c r="D5" s="9"/>
      <c r="E5" s="10"/>
    </row>
    <row r="6" spans="1:5" ht="21.6" customHeight="1" x14ac:dyDescent="0.45">
      <c r="A6" s="9" t="s">
        <v>41</v>
      </c>
      <c r="B6" s="9">
        <v>1</v>
      </c>
      <c r="C6" s="9" t="s">
        <v>8</v>
      </c>
      <c r="D6" s="9"/>
      <c r="E6" s="10"/>
    </row>
    <row r="7" spans="1:5" ht="21.6" customHeight="1" x14ac:dyDescent="0.45">
      <c r="A7" s="9" t="s">
        <v>42</v>
      </c>
      <c r="B7" s="9">
        <v>1</v>
      </c>
      <c r="C7" s="9" t="s">
        <v>8</v>
      </c>
      <c r="D7" s="9"/>
      <c r="E7" s="10"/>
    </row>
    <row r="8" spans="1:5" ht="21.6" customHeight="1" x14ac:dyDescent="0.45">
      <c r="A8" s="9" t="s">
        <v>43</v>
      </c>
      <c r="B8" s="9">
        <v>1</v>
      </c>
      <c r="C8" s="9" t="s">
        <v>8</v>
      </c>
      <c r="D8" s="9"/>
      <c r="E8" s="10"/>
    </row>
    <row r="9" spans="1:5" ht="21.6" customHeight="1" x14ac:dyDescent="0.45">
      <c r="A9" s="9" t="s">
        <v>44</v>
      </c>
      <c r="B9" s="9">
        <v>1</v>
      </c>
      <c r="C9" s="9" t="s">
        <v>8</v>
      </c>
      <c r="D9" s="9"/>
      <c r="E9" s="10"/>
    </row>
    <row r="10" spans="1:5" ht="21.6" customHeight="1" x14ac:dyDescent="0.45">
      <c r="A10" s="9" t="s">
        <v>9</v>
      </c>
      <c r="B10" s="9"/>
      <c r="C10" s="9"/>
      <c r="D10" s="9"/>
      <c r="E10" s="10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5519-FD84-4419-9345-B53D0D1D32BB}">
  <sheetPr codeName="Sheet11"/>
  <dimension ref="A1:E18"/>
  <sheetViews>
    <sheetView zoomScale="140" zoomScaleNormal="140" workbookViewId="0">
      <selection activeCell="A5" sqref="A5:E10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45</v>
      </c>
      <c r="E1" s="3">
        <v>9</v>
      </c>
    </row>
    <row r="2" spans="1:5" ht="10.199999999999999" customHeight="1" x14ac:dyDescent="0.45">
      <c r="A2" s="4" t="s">
        <v>46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47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48</v>
      </c>
      <c r="B5" s="9">
        <v>1</v>
      </c>
      <c r="C5" s="9" t="s">
        <v>8</v>
      </c>
      <c r="D5" s="9"/>
      <c r="E5" s="10"/>
    </row>
    <row r="6" spans="1:5" ht="21.6" customHeight="1" x14ac:dyDescent="0.45">
      <c r="A6" s="9" t="s">
        <v>49</v>
      </c>
      <c r="B6" s="9">
        <v>1</v>
      </c>
      <c r="C6" s="9" t="s">
        <v>8</v>
      </c>
      <c r="D6" s="9"/>
      <c r="E6" s="10"/>
    </row>
    <row r="7" spans="1:5" ht="21.6" customHeight="1" x14ac:dyDescent="0.45">
      <c r="A7" s="9" t="s">
        <v>50</v>
      </c>
      <c r="B7" s="9">
        <v>1</v>
      </c>
      <c r="C7" s="9" t="s">
        <v>8</v>
      </c>
      <c r="D7" s="9"/>
      <c r="E7" s="10"/>
    </row>
    <row r="8" spans="1:5" ht="21.6" customHeight="1" x14ac:dyDescent="0.45">
      <c r="A8" s="9" t="s">
        <v>51</v>
      </c>
      <c r="B8" s="9">
        <v>1</v>
      </c>
      <c r="C8" s="9" t="s">
        <v>8</v>
      </c>
      <c r="D8" s="9"/>
      <c r="E8" s="10"/>
    </row>
    <row r="9" spans="1:5" ht="21.6" customHeight="1" x14ac:dyDescent="0.45">
      <c r="A9" s="9" t="s">
        <v>9</v>
      </c>
      <c r="B9" s="9"/>
      <c r="C9" s="9"/>
      <c r="D9" s="9"/>
      <c r="E9" s="10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2DDC-17F9-456E-B12A-9AA602AD8E62}">
  <sheetPr codeName="Sheet12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45</v>
      </c>
      <c r="E1" s="3">
        <v>10</v>
      </c>
    </row>
    <row r="2" spans="1:5" ht="10.199999999999999" customHeight="1" x14ac:dyDescent="0.45">
      <c r="A2" s="4" t="s">
        <v>52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53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A3E0-6989-4991-84CF-67E4DCB5B8EE}">
  <sheetPr codeName="Sheet13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45</v>
      </c>
      <c r="E1" s="3">
        <v>11</v>
      </c>
    </row>
    <row r="2" spans="1:5" ht="10.199999999999999" customHeight="1" x14ac:dyDescent="0.45">
      <c r="A2" s="4" t="s">
        <v>54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53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F250-846B-453E-A28E-BE9AA13D961A}">
  <sheetPr codeName="Sheet14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45</v>
      </c>
      <c r="E1" s="3">
        <v>12</v>
      </c>
    </row>
    <row r="2" spans="1:5" ht="10.199999999999999" customHeight="1" x14ac:dyDescent="0.45">
      <c r="A2" s="4" t="s">
        <v>55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47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7E78-402D-4B0E-85AC-A710D38149B7}">
  <sheetPr codeName="Sheet15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56</v>
      </c>
      <c r="E1" s="3">
        <v>13</v>
      </c>
    </row>
    <row r="2" spans="1:5" ht="10.199999999999999" customHeight="1" x14ac:dyDescent="0.45">
      <c r="A2" s="4" t="s">
        <v>55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57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C4B0-D319-4625-9A52-9AD22F10944A}">
  <sheetPr codeName="Sheet16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56</v>
      </c>
      <c r="E1" s="3">
        <v>14</v>
      </c>
    </row>
    <row r="2" spans="1:5" ht="10.199999999999999" customHeight="1" x14ac:dyDescent="0.45">
      <c r="A2" s="4" t="s">
        <v>58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57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71AD-AA02-45D3-94ED-4B2521AE9977}">
  <sheetPr codeName="Sheet17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59</v>
      </c>
      <c r="E1" s="3">
        <v>15</v>
      </c>
    </row>
    <row r="2" spans="1:5" ht="10.199999999999999" customHeight="1" x14ac:dyDescent="0.45">
      <c r="A2" s="4" t="s">
        <v>60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61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/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6D21-DD8B-4C2D-8C19-D192BE6D5864}">
  <sheetPr codeName="Sheet18"/>
  <dimension ref="A1:E18"/>
  <sheetViews>
    <sheetView zoomScale="140" zoomScaleNormal="140" workbookViewId="0">
      <selection activeCell="A5" sqref="A5:E6"/>
    </sheetView>
  </sheetViews>
  <sheetFormatPr defaultRowHeight="18" x14ac:dyDescent="0.45"/>
  <cols>
    <col min="1" max="1" width="44.69921875" style="2" customWidth="1"/>
    <col min="2" max="2" width="15" style="2" customWidth="1"/>
    <col min="3" max="3" width="5.19921875" style="2" customWidth="1"/>
    <col min="4" max="4" width="32.69921875" style="2" customWidth="1"/>
    <col min="5" max="5" width="19.8984375" style="2" customWidth="1"/>
    <col min="6" max="16384" width="8.796875" style="2"/>
  </cols>
  <sheetData>
    <row r="1" spans="1:5" ht="19.8" customHeight="1" x14ac:dyDescent="0.45">
      <c r="A1" s="1" t="s">
        <v>62</v>
      </c>
      <c r="E1" s="3">
        <v>16</v>
      </c>
    </row>
    <row r="2" spans="1:5" ht="10.199999999999999" customHeight="1" x14ac:dyDescent="0.45">
      <c r="A2" s="4" t="s">
        <v>63</v>
      </c>
      <c r="B2" s="5"/>
      <c r="C2" s="5"/>
      <c r="D2" s="5"/>
      <c r="E2" s="6"/>
    </row>
    <row r="3" spans="1:5" s="8" customFormat="1" ht="10.199999999999999" customHeight="1" x14ac:dyDescent="0.4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 ht="21.6" customHeight="1" x14ac:dyDescent="0.45">
      <c r="A4" s="9" t="s">
        <v>36</v>
      </c>
      <c r="B4" s="9">
        <v>1</v>
      </c>
      <c r="C4" s="9" t="s">
        <v>8</v>
      </c>
      <c r="D4" s="9"/>
      <c r="E4" s="10"/>
    </row>
    <row r="5" spans="1:5" ht="21.6" customHeight="1" x14ac:dyDescent="0.45">
      <c r="A5" s="9" t="s">
        <v>9</v>
      </c>
      <c r="B5" s="9"/>
      <c r="C5" s="9"/>
      <c r="D5" s="9"/>
      <c r="E5" s="10"/>
    </row>
    <row r="6" spans="1:5" ht="21.6" customHeight="1" x14ac:dyDescent="0.45">
      <c r="A6" s="9"/>
      <c r="B6" s="9" t="s">
        <v>18</v>
      </c>
      <c r="C6" s="9"/>
      <c r="D6" s="9"/>
      <c r="E6" s="9"/>
    </row>
    <row r="7" spans="1:5" ht="21.6" customHeight="1" x14ac:dyDescent="0.45">
      <c r="A7" s="9"/>
      <c r="B7" s="9"/>
      <c r="C7" s="9"/>
      <c r="D7" s="9"/>
      <c r="E7" s="9"/>
    </row>
    <row r="8" spans="1:5" ht="21.6" customHeight="1" x14ac:dyDescent="0.45">
      <c r="A8" s="9"/>
      <c r="B8" s="9"/>
      <c r="C8" s="9"/>
      <c r="D8" s="9"/>
      <c r="E8" s="9"/>
    </row>
    <row r="9" spans="1:5" ht="21.6" customHeight="1" x14ac:dyDescent="0.45">
      <c r="A9" s="9"/>
      <c r="B9" s="9"/>
      <c r="C9" s="9"/>
      <c r="D9" s="9"/>
      <c r="E9" s="9"/>
    </row>
    <row r="10" spans="1:5" ht="21.6" customHeight="1" x14ac:dyDescent="0.45">
      <c r="A10" s="9"/>
      <c r="B10" s="9"/>
      <c r="C10" s="9"/>
      <c r="D10" s="9"/>
      <c r="E10" s="9"/>
    </row>
    <row r="11" spans="1:5" ht="21.6" customHeight="1" x14ac:dyDescent="0.45">
      <c r="A11" s="9"/>
      <c r="B11" s="9"/>
      <c r="C11" s="9"/>
      <c r="D11" s="9"/>
      <c r="E11" s="9"/>
    </row>
    <row r="12" spans="1:5" ht="21.6" customHeight="1" x14ac:dyDescent="0.45">
      <c r="A12" s="9"/>
      <c r="B12" s="9"/>
      <c r="C12" s="9"/>
      <c r="D12" s="9"/>
      <c r="E12" s="9"/>
    </row>
    <row r="13" spans="1:5" ht="21.6" customHeight="1" x14ac:dyDescent="0.45">
      <c r="A13" s="9"/>
      <c r="B13" s="9"/>
      <c r="C13" s="9"/>
      <c r="D13" s="9"/>
      <c r="E13" s="9"/>
    </row>
    <row r="14" spans="1:5" ht="21.6" customHeight="1" x14ac:dyDescent="0.45">
      <c r="A14" s="9"/>
      <c r="B14" s="9"/>
      <c r="C14" s="9"/>
      <c r="D14" s="9"/>
      <c r="E14" s="9"/>
    </row>
    <row r="15" spans="1:5" ht="21.6" customHeight="1" x14ac:dyDescent="0.45">
      <c r="A15" s="9"/>
      <c r="B15" s="9"/>
      <c r="C15" s="9"/>
      <c r="D15" s="9"/>
      <c r="E15" s="9"/>
    </row>
    <row r="16" spans="1:5" ht="21.6" customHeight="1" x14ac:dyDescent="0.45">
      <c r="A16" s="9"/>
      <c r="B16" s="9"/>
      <c r="C16" s="9"/>
      <c r="D16" s="9"/>
      <c r="E16" s="9"/>
    </row>
    <row r="17" spans="1:5" ht="21.6" customHeight="1" x14ac:dyDescent="0.45">
      <c r="A17" s="9"/>
      <c r="B17" s="9"/>
      <c r="C17" s="9"/>
      <c r="D17" s="9"/>
      <c r="E17" s="9"/>
    </row>
    <row r="18" spans="1:5" ht="21.6" customHeight="1" x14ac:dyDescent="0.45">
      <c r="A18" s="9"/>
      <c r="B18" s="9"/>
      <c r="C18" s="9"/>
      <c r="D18" s="9"/>
      <c r="E18" s="9"/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1492-3663-4E6B-8E03-E7D950B2FB4C}">
  <sheetPr codeName="Sheet19"/>
  <dimension ref="A1:F18"/>
  <sheetViews>
    <sheetView zoomScale="140" zoomScaleNormal="140" workbookViewId="0">
      <selection activeCell="A5" sqref="A5:F1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64</v>
      </c>
      <c r="F1" s="3">
        <v>17</v>
      </c>
    </row>
    <row r="2" spans="1:6" ht="10.199999999999999" customHeight="1" x14ac:dyDescent="0.45">
      <c r="A2" s="4" t="s">
        <v>38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39</v>
      </c>
      <c r="B4" s="9"/>
      <c r="C4" s="9">
        <v>1</v>
      </c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 t="s">
        <v>40</v>
      </c>
      <c r="B6" s="9"/>
      <c r="C6" s="9">
        <v>1</v>
      </c>
      <c r="D6" s="9" t="s">
        <v>8</v>
      </c>
      <c r="E6" s="10"/>
      <c r="F6" s="9"/>
    </row>
    <row r="7" spans="1:6" ht="21.6" customHeight="1" x14ac:dyDescent="0.45">
      <c r="A7" s="9" t="s">
        <v>9</v>
      </c>
      <c r="B7" s="9"/>
      <c r="C7" s="9"/>
      <c r="D7" s="9"/>
      <c r="E7" s="10"/>
      <c r="F7" s="9"/>
    </row>
    <row r="8" spans="1:6" ht="21.6" customHeight="1" x14ac:dyDescent="0.45">
      <c r="A8" s="9" t="s">
        <v>41</v>
      </c>
      <c r="B8" s="9"/>
      <c r="C8" s="9">
        <v>1</v>
      </c>
      <c r="D8" s="9" t="s">
        <v>8</v>
      </c>
      <c r="E8" s="10"/>
      <c r="F8" s="9"/>
    </row>
    <row r="9" spans="1:6" ht="21.6" customHeight="1" x14ac:dyDescent="0.45">
      <c r="A9" s="9" t="s">
        <v>9</v>
      </c>
      <c r="B9" s="9"/>
      <c r="C9" s="9"/>
      <c r="D9" s="9"/>
      <c r="E9" s="10"/>
      <c r="F9" s="9"/>
    </row>
    <row r="10" spans="1:6" ht="21.6" customHeight="1" x14ac:dyDescent="0.45">
      <c r="A10" s="9" t="s">
        <v>42</v>
      </c>
      <c r="B10" s="9"/>
      <c r="C10" s="9">
        <v>1</v>
      </c>
      <c r="D10" s="9" t="s">
        <v>8</v>
      </c>
      <c r="E10" s="10"/>
      <c r="F10" s="9"/>
    </row>
    <row r="11" spans="1:6" ht="21.6" customHeight="1" x14ac:dyDescent="0.45">
      <c r="A11" s="9" t="s">
        <v>9</v>
      </c>
      <c r="B11" s="9"/>
      <c r="C11" s="9"/>
      <c r="D11" s="9"/>
      <c r="E11" s="10"/>
      <c r="F11" s="9"/>
    </row>
    <row r="12" spans="1:6" ht="21.6" customHeight="1" x14ac:dyDescent="0.45">
      <c r="A12" s="9" t="s">
        <v>43</v>
      </c>
      <c r="B12" s="9"/>
      <c r="C12" s="9">
        <v>1</v>
      </c>
      <c r="D12" s="9" t="s">
        <v>8</v>
      </c>
      <c r="E12" s="10"/>
      <c r="F12" s="9"/>
    </row>
    <row r="13" spans="1:6" ht="21.6" customHeight="1" x14ac:dyDescent="0.45">
      <c r="A13" s="9" t="s">
        <v>9</v>
      </c>
      <c r="B13" s="9"/>
      <c r="C13" s="9"/>
      <c r="D13" s="9"/>
      <c r="E13" s="10"/>
      <c r="F13" s="9"/>
    </row>
    <row r="14" spans="1:6" ht="21.6" customHeight="1" x14ac:dyDescent="0.45">
      <c r="A14" s="9" t="s">
        <v>44</v>
      </c>
      <c r="B14" s="9" t="s">
        <v>67</v>
      </c>
      <c r="C14" s="9"/>
      <c r="D14" s="9" t="s">
        <v>8</v>
      </c>
      <c r="E14" s="10"/>
      <c r="F14" s="9"/>
    </row>
    <row r="15" spans="1:6" ht="21.6" customHeight="1" x14ac:dyDescent="0.45">
      <c r="A15" s="9" t="s">
        <v>9</v>
      </c>
      <c r="B15" s="9"/>
      <c r="C15" s="9"/>
      <c r="D15" s="9"/>
      <c r="E15" s="10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2647-E3B0-4C00-85FF-FC2C305B32E9}">
  <sheetPr codeName="Sheet20"/>
  <dimension ref="A1:F18"/>
  <sheetViews>
    <sheetView zoomScale="140" zoomScaleNormal="140" workbookViewId="0">
      <selection activeCell="A5" sqref="A5:F14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68</v>
      </c>
      <c r="F1" s="3">
        <v>18</v>
      </c>
    </row>
    <row r="2" spans="1:6" ht="10.199999999999999" customHeight="1" x14ac:dyDescent="0.45">
      <c r="A2" s="4" t="s">
        <v>46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47</v>
      </c>
      <c r="B4" s="9" t="s">
        <v>69</v>
      </c>
      <c r="C4" s="9"/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 t="s">
        <v>48</v>
      </c>
      <c r="B6" s="9"/>
      <c r="C6" s="9">
        <v>1</v>
      </c>
      <c r="D6" s="9" t="s">
        <v>8</v>
      </c>
      <c r="E6" s="10"/>
      <c r="F6" s="9"/>
    </row>
    <row r="7" spans="1:6" ht="21.6" customHeight="1" x14ac:dyDescent="0.45">
      <c r="A7" s="9" t="s">
        <v>9</v>
      </c>
      <c r="B7" s="9"/>
      <c r="C7" s="9"/>
      <c r="D7" s="9"/>
      <c r="E7" s="10"/>
      <c r="F7" s="9"/>
    </row>
    <row r="8" spans="1:6" ht="21.6" customHeight="1" x14ac:dyDescent="0.45">
      <c r="A8" s="9" t="s">
        <v>49</v>
      </c>
      <c r="B8" s="9"/>
      <c r="C8" s="9">
        <v>1</v>
      </c>
      <c r="D8" s="9" t="s">
        <v>8</v>
      </c>
      <c r="E8" s="10"/>
      <c r="F8" s="9"/>
    </row>
    <row r="9" spans="1:6" ht="21.6" customHeight="1" x14ac:dyDescent="0.45">
      <c r="A9" s="9" t="s">
        <v>9</v>
      </c>
      <c r="B9" s="9"/>
      <c r="C9" s="9"/>
      <c r="D9" s="9"/>
      <c r="E9" s="10"/>
      <c r="F9" s="9"/>
    </row>
    <row r="10" spans="1:6" ht="21.6" customHeight="1" x14ac:dyDescent="0.45">
      <c r="A10" s="9" t="s">
        <v>50</v>
      </c>
      <c r="B10" s="9"/>
      <c r="C10" s="9">
        <v>1</v>
      </c>
      <c r="D10" s="9" t="s">
        <v>8</v>
      </c>
      <c r="E10" s="10"/>
      <c r="F10" s="9"/>
    </row>
    <row r="11" spans="1:6" ht="21.6" customHeight="1" x14ac:dyDescent="0.45">
      <c r="A11" s="9" t="s">
        <v>9</v>
      </c>
      <c r="B11" s="9"/>
      <c r="C11" s="9"/>
      <c r="D11" s="9"/>
      <c r="E11" s="10"/>
      <c r="F11" s="9"/>
    </row>
    <row r="12" spans="1:6" ht="21.6" customHeight="1" x14ac:dyDescent="0.45">
      <c r="A12" s="9" t="s">
        <v>51</v>
      </c>
      <c r="B12" s="9" t="s">
        <v>70</v>
      </c>
      <c r="C12" s="9"/>
      <c r="D12" s="9" t="s">
        <v>8</v>
      </c>
      <c r="E12" s="10"/>
      <c r="F12" s="9"/>
    </row>
    <row r="13" spans="1:6" ht="21.6" customHeight="1" x14ac:dyDescent="0.45">
      <c r="A13" s="9" t="s">
        <v>9</v>
      </c>
      <c r="B13" s="9"/>
      <c r="C13" s="9"/>
      <c r="D13" s="9"/>
      <c r="E13" s="10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D0BB-ADE8-4A6C-824C-3DFB2ECCAF0C}">
  <sheetPr codeName="Sheet21"/>
  <dimension ref="A1:F18"/>
  <sheetViews>
    <sheetView zoomScale="140" zoomScaleNormal="140" workbookViewId="0">
      <selection activeCell="A5" sqref="A5:F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68</v>
      </c>
      <c r="F1" s="3">
        <v>19</v>
      </c>
    </row>
    <row r="2" spans="1:6" ht="10.199999999999999" customHeight="1" x14ac:dyDescent="0.45">
      <c r="A2" s="4" t="s">
        <v>52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53</v>
      </c>
      <c r="B4" s="9"/>
      <c r="C4" s="9">
        <v>1</v>
      </c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/>
      <c r="B6" s="9"/>
      <c r="C6" s="9"/>
      <c r="D6" s="9"/>
      <c r="E6" s="9"/>
      <c r="F6" s="9"/>
    </row>
    <row r="7" spans="1:6" ht="21.6" customHeight="1" x14ac:dyDescent="0.45">
      <c r="A7" s="9"/>
      <c r="B7" s="9"/>
      <c r="C7" s="9"/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99C8-A046-4ADE-9B32-0D79DE571467}">
  <sheetPr codeName="Sheet22"/>
  <dimension ref="A1:F18"/>
  <sheetViews>
    <sheetView zoomScale="140" zoomScaleNormal="140" workbookViewId="0">
      <selection activeCell="A5" sqref="A5:F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68</v>
      </c>
      <c r="F1" s="3">
        <v>20</v>
      </c>
    </row>
    <row r="2" spans="1:6" ht="10.199999999999999" customHeight="1" x14ac:dyDescent="0.45">
      <c r="A2" s="4" t="s">
        <v>54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53</v>
      </c>
      <c r="B4" s="9"/>
      <c r="C4" s="9">
        <v>1</v>
      </c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/>
      <c r="B6" s="9"/>
      <c r="C6" s="9"/>
      <c r="D6" s="9"/>
      <c r="E6" s="9"/>
      <c r="F6" s="9"/>
    </row>
    <row r="7" spans="1:6" ht="21.6" customHeight="1" x14ac:dyDescent="0.45">
      <c r="A7" s="9"/>
      <c r="B7" s="9"/>
      <c r="C7" s="9"/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5EEC-1595-4956-9DD9-7C4DDEF9F761}">
  <sheetPr codeName="Sheet23"/>
  <dimension ref="A1:F18"/>
  <sheetViews>
    <sheetView zoomScale="140" zoomScaleNormal="140" workbookViewId="0">
      <selection activeCell="A5" sqref="A5:F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68</v>
      </c>
      <c r="F1" s="3">
        <v>21</v>
      </c>
    </row>
    <row r="2" spans="1:6" ht="10.199999999999999" customHeight="1" x14ac:dyDescent="0.45">
      <c r="A2" s="4" t="s">
        <v>55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47</v>
      </c>
      <c r="B4" s="9" t="s">
        <v>69</v>
      </c>
      <c r="C4" s="9"/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/>
      <c r="B6" s="9"/>
      <c r="C6" s="9"/>
      <c r="D6" s="9"/>
      <c r="E6" s="9"/>
      <c r="F6" s="9"/>
    </row>
    <row r="7" spans="1:6" ht="21.6" customHeight="1" x14ac:dyDescent="0.45">
      <c r="A7" s="9"/>
      <c r="B7" s="9"/>
      <c r="C7" s="9"/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0704-CE60-4022-8D44-E4F8589C6FB4}">
  <sheetPr codeName="Sheet24"/>
  <dimension ref="A1:F18"/>
  <sheetViews>
    <sheetView zoomScale="140" zoomScaleNormal="140" workbookViewId="0">
      <selection activeCell="A5" sqref="A5:F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71</v>
      </c>
      <c r="F1" s="3">
        <v>22</v>
      </c>
    </row>
    <row r="2" spans="1:6" ht="10.199999999999999" customHeight="1" x14ac:dyDescent="0.45">
      <c r="A2" s="4" t="s">
        <v>55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57</v>
      </c>
      <c r="B4" s="9" t="s">
        <v>57</v>
      </c>
      <c r="C4" s="9"/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/>
      <c r="B6" s="9"/>
      <c r="C6" s="9"/>
      <c r="D6" s="9"/>
      <c r="E6" s="9"/>
      <c r="F6" s="9"/>
    </row>
    <row r="7" spans="1:6" ht="21.6" customHeight="1" x14ac:dyDescent="0.45">
      <c r="A7" s="9"/>
      <c r="B7" s="9"/>
      <c r="C7" s="9"/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6ECD-BFEB-4750-9242-34FC2E520CD1}">
  <sheetPr codeName="Sheet25"/>
  <dimension ref="A1:F18"/>
  <sheetViews>
    <sheetView zoomScale="140" zoomScaleNormal="140" workbookViewId="0">
      <selection activeCell="A5" sqref="A5:F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71</v>
      </c>
      <c r="F1" s="3">
        <v>23</v>
      </c>
    </row>
    <row r="2" spans="1:6" ht="10.199999999999999" customHeight="1" x14ac:dyDescent="0.45">
      <c r="A2" s="4" t="s">
        <v>58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57</v>
      </c>
      <c r="B4" s="9" t="s">
        <v>57</v>
      </c>
      <c r="C4" s="9"/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/>
      <c r="B6" s="9"/>
      <c r="C6" s="9"/>
      <c r="D6" s="9"/>
      <c r="E6" s="9"/>
      <c r="F6" s="9"/>
    </row>
    <row r="7" spans="1:6" ht="21.6" customHeight="1" x14ac:dyDescent="0.45">
      <c r="A7" s="9"/>
      <c r="B7" s="9"/>
      <c r="C7" s="9"/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6982-868F-48EC-B972-CA9098670E43}">
  <sheetPr codeName="Sheet26"/>
  <dimension ref="A1:F18"/>
  <sheetViews>
    <sheetView zoomScale="140" zoomScaleNormal="140" workbookViewId="0">
      <selection activeCell="A5" sqref="A5:F6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72</v>
      </c>
      <c r="F1" s="3">
        <v>24</v>
      </c>
    </row>
    <row r="2" spans="1:6" ht="10.199999999999999" customHeight="1" x14ac:dyDescent="0.45">
      <c r="A2" s="4" t="s">
        <v>60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61</v>
      </c>
      <c r="B4" s="9" t="s">
        <v>73</v>
      </c>
      <c r="C4" s="9"/>
      <c r="D4" s="9" t="s">
        <v>8</v>
      </c>
      <c r="E4" s="10"/>
      <c r="F4" s="9"/>
    </row>
    <row r="5" spans="1:6" ht="21.6" customHeight="1" x14ac:dyDescent="0.45">
      <c r="A5" s="9" t="s">
        <v>9</v>
      </c>
      <c r="B5" s="9"/>
      <c r="C5" s="9"/>
      <c r="D5" s="9"/>
      <c r="E5" s="10"/>
      <c r="F5" s="9"/>
    </row>
    <row r="6" spans="1:6" ht="21.6" customHeight="1" x14ac:dyDescent="0.45">
      <c r="A6" s="9"/>
      <c r="B6" s="9"/>
      <c r="C6" s="9"/>
      <c r="D6" s="9"/>
      <c r="E6" s="9"/>
      <c r="F6" s="9"/>
    </row>
    <row r="7" spans="1:6" ht="21.6" customHeight="1" x14ac:dyDescent="0.45">
      <c r="A7" s="9"/>
      <c r="B7" s="9"/>
      <c r="C7" s="9"/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1BA1-EBC3-4ED9-84F6-A6FEE8747D5B}">
  <sheetPr codeName="Sheet27"/>
  <dimension ref="A1:F18"/>
  <sheetViews>
    <sheetView zoomScale="140" zoomScaleNormal="140" workbookViewId="0">
      <selection activeCell="A5" sqref="A5:F7"/>
    </sheetView>
  </sheetViews>
  <sheetFormatPr defaultRowHeight="18" x14ac:dyDescent="0.45"/>
  <cols>
    <col min="1" max="3" width="21.69921875" style="2" customWidth="1"/>
    <col min="4" max="4" width="5.19921875" style="2" customWidth="1"/>
    <col min="5" max="5" width="32.69921875" style="2" customWidth="1"/>
    <col min="6" max="6" width="19.8984375" style="2" customWidth="1"/>
    <col min="7" max="16384" width="8.796875" style="2"/>
  </cols>
  <sheetData>
    <row r="1" spans="1:6" ht="19.8" customHeight="1" x14ac:dyDescent="0.45">
      <c r="A1" s="1" t="s">
        <v>74</v>
      </c>
      <c r="F1" s="3">
        <v>25</v>
      </c>
    </row>
    <row r="2" spans="1:6" ht="10.199999999999999" customHeight="1" x14ac:dyDescent="0.45">
      <c r="A2" s="4" t="s">
        <v>63</v>
      </c>
      <c r="B2" s="5"/>
      <c r="C2" s="5"/>
      <c r="D2" s="5"/>
      <c r="E2" s="5"/>
      <c r="F2" s="6"/>
    </row>
    <row r="3" spans="1:6" s="8" customFormat="1" ht="10.199999999999999" customHeight="1" x14ac:dyDescent="0.45">
      <c r="A3" s="7" t="s">
        <v>65</v>
      </c>
      <c r="B3" s="7" t="s">
        <v>66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ht="21.6" customHeight="1" x14ac:dyDescent="0.45">
      <c r="A4" s="9" t="s">
        <v>36</v>
      </c>
      <c r="B4" s="9" t="s">
        <v>75</v>
      </c>
      <c r="C4" s="9">
        <v>1</v>
      </c>
      <c r="D4" s="9" t="s">
        <v>8</v>
      </c>
      <c r="E4" s="10"/>
      <c r="F4" s="9"/>
    </row>
    <row r="5" spans="1:6" ht="21.6" customHeight="1" x14ac:dyDescent="0.45">
      <c r="A5" s="9" t="s">
        <v>36</v>
      </c>
      <c r="B5" s="9" t="s">
        <v>76</v>
      </c>
      <c r="C5" s="9">
        <v>1</v>
      </c>
      <c r="D5" s="9" t="s">
        <v>8</v>
      </c>
      <c r="E5" s="10"/>
      <c r="F5" s="9"/>
    </row>
    <row r="6" spans="1:6" ht="21.6" customHeight="1" x14ac:dyDescent="0.45">
      <c r="A6" s="9" t="s">
        <v>9</v>
      </c>
      <c r="B6" s="9"/>
      <c r="C6" s="9"/>
      <c r="D6" s="9"/>
      <c r="E6" s="10"/>
      <c r="F6" s="9"/>
    </row>
    <row r="7" spans="1:6" ht="21.6" customHeight="1" x14ac:dyDescent="0.45">
      <c r="A7" s="9"/>
      <c r="B7" s="9"/>
      <c r="C7" s="9" t="s">
        <v>18</v>
      </c>
      <c r="D7" s="9"/>
      <c r="E7" s="9"/>
      <c r="F7" s="9"/>
    </row>
    <row r="8" spans="1:6" ht="21.6" customHeight="1" x14ac:dyDescent="0.45">
      <c r="A8" s="9"/>
      <c r="B8" s="9"/>
      <c r="C8" s="9"/>
      <c r="D8" s="9"/>
      <c r="E8" s="9"/>
      <c r="F8" s="9"/>
    </row>
    <row r="9" spans="1:6" ht="21.6" customHeight="1" x14ac:dyDescent="0.45">
      <c r="A9" s="9"/>
      <c r="B9" s="9"/>
      <c r="C9" s="9"/>
      <c r="D9" s="9"/>
      <c r="E9" s="9"/>
      <c r="F9" s="9"/>
    </row>
    <row r="10" spans="1:6" ht="21.6" customHeight="1" x14ac:dyDescent="0.45">
      <c r="A10" s="9"/>
      <c r="B10" s="9"/>
      <c r="C10" s="9"/>
      <c r="D10" s="9"/>
      <c r="E10" s="9"/>
      <c r="F10" s="9"/>
    </row>
    <row r="11" spans="1:6" ht="21.6" customHeight="1" x14ac:dyDescent="0.45">
      <c r="A11" s="9"/>
      <c r="B11" s="9"/>
      <c r="C11" s="9"/>
      <c r="D11" s="9"/>
      <c r="E11" s="9"/>
      <c r="F11" s="9"/>
    </row>
    <row r="12" spans="1:6" ht="21.6" customHeight="1" x14ac:dyDescent="0.45">
      <c r="A12" s="9"/>
      <c r="B12" s="9"/>
      <c r="C12" s="9"/>
      <c r="D12" s="9"/>
      <c r="E12" s="9"/>
      <c r="F12" s="9"/>
    </row>
    <row r="13" spans="1:6" ht="21.6" customHeight="1" x14ac:dyDescent="0.45">
      <c r="A13" s="9"/>
      <c r="B13" s="9"/>
      <c r="C13" s="9"/>
      <c r="D13" s="9"/>
      <c r="E13" s="9"/>
      <c r="F13" s="9"/>
    </row>
    <row r="14" spans="1:6" ht="21.6" customHeight="1" x14ac:dyDescent="0.45">
      <c r="A14" s="9"/>
      <c r="B14" s="9"/>
      <c r="C14" s="9"/>
      <c r="D14" s="9"/>
      <c r="E14" s="9"/>
      <c r="F14" s="9"/>
    </row>
    <row r="15" spans="1:6" ht="21.6" customHeight="1" x14ac:dyDescent="0.45">
      <c r="A15" s="9"/>
      <c r="B15" s="9"/>
      <c r="C15" s="9"/>
      <c r="D15" s="9"/>
      <c r="E15" s="9"/>
      <c r="F15" s="9"/>
    </row>
    <row r="16" spans="1:6" ht="21.6" customHeight="1" x14ac:dyDescent="0.45">
      <c r="A16" s="9"/>
      <c r="B16" s="9"/>
      <c r="C16" s="9"/>
      <c r="D16" s="9"/>
      <c r="E16" s="9"/>
      <c r="F16" s="9"/>
    </row>
    <row r="17" spans="1:6" ht="21.6" customHeight="1" x14ac:dyDescent="0.45">
      <c r="A17" s="9"/>
      <c r="B17" s="9"/>
      <c r="C17" s="9"/>
      <c r="D17" s="9"/>
      <c r="E17" s="9"/>
      <c r="F17" s="9"/>
    </row>
    <row r="18" spans="1:6" ht="21.6" customHeight="1" x14ac:dyDescent="0.45">
      <c r="A18" s="9"/>
      <c r="B18" s="9"/>
      <c r="C18" s="9"/>
      <c r="D18" s="9"/>
      <c r="E18" s="9"/>
      <c r="F18" s="9"/>
    </row>
  </sheetData>
  <phoneticPr fontId="3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7C1B-9AF0-4B2C-8720-491A28279BDD}">
  <sheetPr codeName="Sheet28"/>
  <dimension ref="A1:G18"/>
  <sheetViews>
    <sheetView zoomScale="140" zoomScaleNormal="140" workbookViewId="0">
      <selection activeCell="A5" sqref="A5:G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26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80</v>
      </c>
      <c r="B4" s="9"/>
      <c r="C4" s="10">
        <v>1</v>
      </c>
      <c r="D4" s="9" t="s">
        <v>8</v>
      </c>
      <c r="E4" s="10"/>
      <c r="F4" s="10">
        <f>'48'!F4</f>
        <v>0</v>
      </c>
      <c r="G4" s="9" t="s">
        <v>81</v>
      </c>
    </row>
    <row r="5" spans="1:7" ht="21.6" customHeight="1" x14ac:dyDescent="0.45">
      <c r="A5" s="9" t="s">
        <v>82</v>
      </c>
      <c r="B5" s="9"/>
      <c r="C5" s="10">
        <v>1</v>
      </c>
      <c r="D5" s="9" t="s">
        <v>8</v>
      </c>
      <c r="E5" s="10"/>
      <c r="F5" s="10">
        <f>'48'!F11</f>
        <v>0</v>
      </c>
      <c r="G5" s="9" t="s">
        <v>83</v>
      </c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SUM(F4:F5)</f>
        <v>0</v>
      </c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DC40-5FD2-48EC-9965-A65ED4941F02}">
  <sheetPr codeName="Sheet29"/>
  <dimension ref="A1:G18"/>
  <sheetViews>
    <sheetView zoomScale="140" zoomScaleNormal="140" workbookViewId="0">
      <selection activeCell="A5" sqref="A5:G14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27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84</v>
      </c>
      <c r="B4" s="9" t="s">
        <v>85</v>
      </c>
      <c r="C4" s="10">
        <v>1345</v>
      </c>
      <c r="D4" s="9" t="s">
        <v>86</v>
      </c>
      <c r="E4" s="10"/>
      <c r="F4" s="10">
        <f>C4*E4</f>
        <v>0</v>
      </c>
      <c r="G4" s="9"/>
    </row>
    <row r="5" spans="1:7" ht="21.6" customHeight="1" x14ac:dyDescent="0.45">
      <c r="A5" s="9" t="s">
        <v>87</v>
      </c>
      <c r="B5" s="9" t="s">
        <v>88</v>
      </c>
      <c r="C5" s="10">
        <v>167</v>
      </c>
      <c r="D5" s="9" t="s">
        <v>89</v>
      </c>
      <c r="E5" s="10"/>
      <c r="F5" s="10">
        <f>C5*E5</f>
        <v>0</v>
      </c>
      <c r="G5" s="9"/>
    </row>
    <row r="6" spans="1:7" ht="21.6" customHeight="1" x14ac:dyDescent="0.45">
      <c r="A6" s="9" t="s">
        <v>90</v>
      </c>
      <c r="B6" s="9" t="s">
        <v>88</v>
      </c>
      <c r="C6" s="10">
        <v>689</v>
      </c>
      <c r="D6" s="9" t="s">
        <v>89</v>
      </c>
      <c r="E6" s="10"/>
      <c r="F6" s="10">
        <f>C6*E6</f>
        <v>0</v>
      </c>
      <c r="G6" s="9"/>
    </row>
    <row r="7" spans="1:7" ht="21.6" customHeight="1" x14ac:dyDescent="0.45">
      <c r="A7" s="9" t="s">
        <v>91</v>
      </c>
      <c r="B7" s="9" t="s">
        <v>92</v>
      </c>
      <c r="C7" s="10">
        <v>224</v>
      </c>
      <c r="D7" s="9" t="s">
        <v>89</v>
      </c>
      <c r="E7" s="10"/>
      <c r="F7" s="10">
        <f>C7*E7</f>
        <v>0</v>
      </c>
      <c r="G7" s="9"/>
    </row>
    <row r="8" spans="1:7" ht="21.6" customHeight="1" x14ac:dyDescent="0.45">
      <c r="A8" s="9" t="s">
        <v>93</v>
      </c>
      <c r="B8" s="9" t="s">
        <v>94</v>
      </c>
      <c r="C8" s="10">
        <v>26.5</v>
      </c>
      <c r="D8" s="9" t="s">
        <v>89</v>
      </c>
      <c r="E8" s="10"/>
      <c r="F8" s="10">
        <f>C8*E8</f>
        <v>0</v>
      </c>
      <c r="G8" s="9"/>
    </row>
    <row r="9" spans="1:7" ht="21.6" customHeight="1" x14ac:dyDescent="0.45">
      <c r="A9" s="9" t="s">
        <v>95</v>
      </c>
      <c r="B9" s="9" t="s">
        <v>92</v>
      </c>
      <c r="C9" s="10">
        <v>42.9</v>
      </c>
      <c r="D9" s="9" t="s">
        <v>89</v>
      </c>
      <c r="E9" s="10"/>
      <c r="F9" s="10">
        <f>C9*E9</f>
        <v>0</v>
      </c>
      <c r="G9" s="9"/>
    </row>
    <row r="10" spans="1:7" ht="21.6" customHeight="1" x14ac:dyDescent="0.45">
      <c r="A10" s="9" t="s">
        <v>96</v>
      </c>
      <c r="B10" s="9" t="s">
        <v>97</v>
      </c>
      <c r="C10" s="10">
        <v>1</v>
      </c>
      <c r="D10" s="9" t="s">
        <v>8</v>
      </c>
      <c r="E10" s="10"/>
      <c r="F10" s="10">
        <f>'49'!F4</f>
        <v>0</v>
      </c>
      <c r="G10" s="9" t="s">
        <v>98</v>
      </c>
    </row>
    <row r="11" spans="1:7" ht="21.6" customHeight="1" x14ac:dyDescent="0.45">
      <c r="A11" s="9" t="s">
        <v>99</v>
      </c>
      <c r="B11" s="9"/>
      <c r="C11" s="10">
        <v>1</v>
      </c>
      <c r="D11" s="9" t="s">
        <v>8</v>
      </c>
      <c r="E11" s="10"/>
      <c r="F11" s="10">
        <f>'50'!F4</f>
        <v>0</v>
      </c>
      <c r="G11" s="9" t="s">
        <v>100</v>
      </c>
    </row>
    <row r="12" spans="1:7" ht="21.6" customHeight="1" x14ac:dyDescent="0.45">
      <c r="A12" s="9" t="s">
        <v>101</v>
      </c>
      <c r="B12" s="9" t="s">
        <v>102</v>
      </c>
      <c r="C12" s="10">
        <v>252</v>
      </c>
      <c r="D12" s="9" t="s">
        <v>89</v>
      </c>
      <c r="E12" s="10"/>
      <c r="F12" s="10">
        <f>C12*E12</f>
        <v>0</v>
      </c>
      <c r="G12" s="9"/>
    </row>
    <row r="13" spans="1:7" ht="21.6" customHeight="1" x14ac:dyDescent="0.45">
      <c r="A13" s="9" t="s">
        <v>9</v>
      </c>
      <c r="B13" s="9"/>
      <c r="C13" s="10"/>
      <c r="D13" s="9"/>
      <c r="E13" s="10"/>
      <c r="F13" s="10">
        <f>SUM(F4:F12)</f>
        <v>0</v>
      </c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97FB-4190-4C7A-8F25-C80C0D80C6B1}">
  <sheetPr codeName="Sheet30"/>
  <dimension ref="A1:G18"/>
  <sheetViews>
    <sheetView zoomScale="140" zoomScaleNormal="140" workbookViewId="0">
      <selection activeCell="A5" sqref="A5:G11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28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90</v>
      </c>
      <c r="B4" s="9" t="s">
        <v>88</v>
      </c>
      <c r="C4" s="10">
        <v>11.5</v>
      </c>
      <c r="D4" s="9" t="s">
        <v>89</v>
      </c>
      <c r="E4" s="10"/>
      <c r="F4" s="10">
        <f>C4*E4</f>
        <v>0</v>
      </c>
      <c r="G4" s="9"/>
    </row>
    <row r="5" spans="1:7" ht="21.6" customHeight="1" x14ac:dyDescent="0.45">
      <c r="A5" s="9" t="s">
        <v>91</v>
      </c>
      <c r="B5" s="9" t="s">
        <v>92</v>
      </c>
      <c r="C5" s="10">
        <v>8.9</v>
      </c>
      <c r="D5" s="9" t="s">
        <v>89</v>
      </c>
      <c r="E5" s="10"/>
      <c r="F5" s="10">
        <f>C5*E5</f>
        <v>0</v>
      </c>
      <c r="G5" s="9"/>
    </row>
    <row r="6" spans="1:7" ht="21.6" customHeight="1" x14ac:dyDescent="0.45">
      <c r="A6" s="9" t="s">
        <v>93</v>
      </c>
      <c r="B6" s="9" t="s">
        <v>92</v>
      </c>
      <c r="C6" s="10">
        <v>1.8</v>
      </c>
      <c r="D6" s="9" t="s">
        <v>89</v>
      </c>
      <c r="E6" s="10"/>
      <c r="F6" s="10">
        <f>C6*E6</f>
        <v>0</v>
      </c>
      <c r="G6" s="9"/>
    </row>
    <row r="7" spans="1:7" ht="21.6" customHeight="1" x14ac:dyDescent="0.45">
      <c r="A7" s="9" t="s">
        <v>95</v>
      </c>
      <c r="B7" s="9" t="s">
        <v>92</v>
      </c>
      <c r="C7" s="10">
        <v>5.4</v>
      </c>
      <c r="D7" s="9" t="s">
        <v>89</v>
      </c>
      <c r="E7" s="10"/>
      <c r="F7" s="10">
        <f>C7*E7</f>
        <v>0</v>
      </c>
      <c r="G7" s="9"/>
    </row>
    <row r="8" spans="1:7" ht="21.6" customHeight="1" x14ac:dyDescent="0.45">
      <c r="A8" s="9" t="s">
        <v>101</v>
      </c>
      <c r="B8" s="9" t="s">
        <v>102</v>
      </c>
      <c r="C8" s="10">
        <v>6.1</v>
      </c>
      <c r="D8" s="9" t="s">
        <v>89</v>
      </c>
      <c r="E8" s="10"/>
      <c r="F8" s="10">
        <f>C8*E8</f>
        <v>0</v>
      </c>
      <c r="G8" s="9"/>
    </row>
    <row r="9" spans="1:7" ht="21.6" customHeight="1" x14ac:dyDescent="0.45">
      <c r="A9" s="9" t="s">
        <v>103</v>
      </c>
      <c r="B9" s="9" t="s">
        <v>104</v>
      </c>
      <c r="C9" s="10">
        <v>1</v>
      </c>
      <c r="D9" s="9" t="s">
        <v>8</v>
      </c>
      <c r="E9" s="10"/>
      <c r="F9" s="10">
        <f>'51'!F4</f>
        <v>0</v>
      </c>
      <c r="G9" s="9" t="s">
        <v>105</v>
      </c>
    </row>
    <row r="10" spans="1:7" ht="21.6" customHeight="1" x14ac:dyDescent="0.45">
      <c r="A10" s="9" t="s">
        <v>9</v>
      </c>
      <c r="B10" s="9"/>
      <c r="C10" s="10"/>
      <c r="D10" s="9"/>
      <c r="E10" s="10"/>
      <c r="F10" s="10">
        <f>SUM(F4:F9)</f>
        <v>0</v>
      </c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A3E2-F78D-44C5-BC2A-832DF2A873A8}">
  <sheetPr codeName="Sheet31"/>
  <dimension ref="A1:G19"/>
  <sheetViews>
    <sheetView zoomScale="140" zoomScaleNormal="140" workbookViewId="0">
      <selection activeCell="A5" sqref="A5:G1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29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106</v>
      </c>
      <c r="B4" s="9" t="s">
        <v>107</v>
      </c>
      <c r="C4" s="10">
        <v>1</v>
      </c>
      <c r="D4" s="9" t="s">
        <v>8</v>
      </c>
      <c r="E4" s="10"/>
      <c r="F4" s="10">
        <f>'52'!F4</f>
        <v>0</v>
      </c>
      <c r="G4" s="9" t="s">
        <v>108</v>
      </c>
    </row>
    <row r="5" spans="1:7" ht="21.6" customHeight="1" x14ac:dyDescent="0.45">
      <c r="A5" s="9" t="s">
        <v>109</v>
      </c>
      <c r="B5" s="9"/>
      <c r="C5" s="10">
        <v>1</v>
      </c>
      <c r="D5" s="9" t="s">
        <v>8</v>
      </c>
      <c r="E5" s="10"/>
      <c r="F5" s="10">
        <f>'52'!F7</f>
        <v>0</v>
      </c>
      <c r="G5" s="9" t="s">
        <v>110</v>
      </c>
    </row>
    <row r="6" spans="1:7" ht="21.6" customHeight="1" x14ac:dyDescent="0.45">
      <c r="A6" s="9" t="s">
        <v>111</v>
      </c>
      <c r="B6" s="9" t="s">
        <v>107</v>
      </c>
      <c r="C6" s="10">
        <v>1</v>
      </c>
      <c r="D6" s="9" t="s">
        <v>8</v>
      </c>
      <c r="E6" s="10"/>
      <c r="F6" s="10">
        <f>'53'!F4</f>
        <v>0</v>
      </c>
      <c r="G6" s="9" t="s">
        <v>112</v>
      </c>
    </row>
    <row r="7" spans="1:7" ht="21.6" customHeight="1" x14ac:dyDescent="0.45">
      <c r="A7" s="9" t="s">
        <v>113</v>
      </c>
      <c r="B7" s="9" t="s">
        <v>114</v>
      </c>
      <c r="C7" s="10">
        <v>1</v>
      </c>
      <c r="D7" s="9" t="s">
        <v>8</v>
      </c>
      <c r="E7" s="10"/>
      <c r="F7" s="10">
        <f>'53'!F9</f>
        <v>0</v>
      </c>
      <c r="G7" s="9" t="s">
        <v>115</v>
      </c>
    </row>
    <row r="8" spans="1:7" ht="21.6" customHeight="1" x14ac:dyDescent="0.45">
      <c r="A8" s="9" t="s">
        <v>113</v>
      </c>
      <c r="B8" s="9" t="s">
        <v>116</v>
      </c>
      <c r="C8" s="10">
        <v>1</v>
      </c>
      <c r="D8" s="9" t="s">
        <v>8</v>
      </c>
      <c r="E8" s="10"/>
      <c r="F8" s="10">
        <f>'54'!F4</f>
        <v>0</v>
      </c>
      <c r="G8" s="9" t="s">
        <v>117</v>
      </c>
    </row>
    <row r="9" spans="1:7" ht="21.6" customHeight="1" x14ac:dyDescent="0.45">
      <c r="A9" s="9" t="s">
        <v>118</v>
      </c>
      <c r="B9" s="9"/>
      <c r="C9" s="10">
        <v>1</v>
      </c>
      <c r="D9" s="9" t="s">
        <v>8</v>
      </c>
      <c r="E9" s="10"/>
      <c r="F9" s="10">
        <f>'55'!F4</f>
        <v>0</v>
      </c>
      <c r="G9" s="9" t="s">
        <v>119</v>
      </c>
    </row>
    <row r="10" spans="1:7" ht="21.6" customHeight="1" x14ac:dyDescent="0.45">
      <c r="A10" s="9" t="s">
        <v>120</v>
      </c>
      <c r="B10" s="9" t="s">
        <v>121</v>
      </c>
      <c r="C10" s="10">
        <v>1</v>
      </c>
      <c r="D10" s="9" t="s">
        <v>8</v>
      </c>
      <c r="E10" s="10"/>
      <c r="F10" s="10">
        <f>'56'!F4</f>
        <v>0</v>
      </c>
      <c r="G10" s="9" t="s">
        <v>122</v>
      </c>
    </row>
    <row r="11" spans="1:7" ht="21.6" customHeight="1" x14ac:dyDescent="0.45">
      <c r="A11" s="9" t="s">
        <v>123</v>
      </c>
      <c r="B11" s="9" t="s">
        <v>124</v>
      </c>
      <c r="C11" s="10">
        <v>193</v>
      </c>
      <c r="D11" s="9" t="s">
        <v>89</v>
      </c>
      <c r="E11" s="10"/>
      <c r="F11" s="10">
        <f>C11*E11</f>
        <v>0</v>
      </c>
      <c r="G11" s="9"/>
    </row>
    <row r="12" spans="1:7" ht="21.6" customHeight="1" x14ac:dyDescent="0.45">
      <c r="A12" s="9" t="s">
        <v>87</v>
      </c>
      <c r="B12" s="9" t="s">
        <v>88</v>
      </c>
      <c r="C12" s="10">
        <v>14.7</v>
      </c>
      <c r="D12" s="9" t="s">
        <v>89</v>
      </c>
      <c r="E12" s="10"/>
      <c r="F12" s="10">
        <f>C12*E12</f>
        <v>0</v>
      </c>
      <c r="G12" s="9"/>
    </row>
    <row r="13" spans="1:7" ht="21.6" customHeight="1" x14ac:dyDescent="0.45">
      <c r="A13" s="9" t="s">
        <v>90</v>
      </c>
      <c r="B13" s="9" t="s">
        <v>88</v>
      </c>
      <c r="C13" s="10">
        <v>6.7</v>
      </c>
      <c r="D13" s="9" t="s">
        <v>89</v>
      </c>
      <c r="E13" s="10"/>
      <c r="F13" s="10">
        <f>C13*E13</f>
        <v>0</v>
      </c>
      <c r="G13" s="9"/>
    </row>
    <row r="14" spans="1:7" ht="21.6" customHeight="1" x14ac:dyDescent="0.45">
      <c r="A14" s="9" t="s">
        <v>91</v>
      </c>
      <c r="B14" s="9" t="s">
        <v>94</v>
      </c>
      <c r="C14" s="10">
        <v>71.599999999999994</v>
      </c>
      <c r="D14" s="9" t="s">
        <v>89</v>
      </c>
      <c r="E14" s="10"/>
      <c r="F14" s="10">
        <f>C14*E14</f>
        <v>0</v>
      </c>
      <c r="G14" s="9"/>
    </row>
    <row r="15" spans="1:7" ht="21.6" customHeight="1" x14ac:dyDescent="0.45">
      <c r="A15" s="9" t="s">
        <v>93</v>
      </c>
      <c r="B15" s="9" t="s">
        <v>92</v>
      </c>
      <c r="C15" s="10">
        <v>2.5</v>
      </c>
      <c r="D15" s="9" t="s">
        <v>89</v>
      </c>
      <c r="E15" s="10"/>
      <c r="F15" s="10">
        <f>C15*E15</f>
        <v>0</v>
      </c>
      <c r="G15" s="9"/>
    </row>
    <row r="16" spans="1:7" ht="21.6" customHeight="1" x14ac:dyDescent="0.45">
      <c r="A16" s="9" t="s">
        <v>95</v>
      </c>
      <c r="B16" s="9" t="s">
        <v>92</v>
      </c>
      <c r="C16" s="10">
        <v>9.4</v>
      </c>
      <c r="D16" s="9" t="s">
        <v>89</v>
      </c>
      <c r="E16" s="10"/>
      <c r="F16" s="10">
        <f>C16*E16</f>
        <v>0</v>
      </c>
      <c r="G16" s="9"/>
    </row>
    <row r="17" spans="1:7" ht="21.6" customHeight="1" x14ac:dyDescent="0.45">
      <c r="A17" s="9" t="s">
        <v>125</v>
      </c>
      <c r="B17" s="9" t="s">
        <v>126</v>
      </c>
      <c r="C17" s="10">
        <v>193</v>
      </c>
      <c r="D17" s="9" t="s">
        <v>89</v>
      </c>
      <c r="E17" s="10"/>
      <c r="F17" s="10">
        <f>C17*E17</f>
        <v>0</v>
      </c>
      <c r="G17" s="9"/>
    </row>
    <row r="18" spans="1:7" ht="21.6" customHeight="1" x14ac:dyDescent="0.45">
      <c r="A18" s="9" t="s">
        <v>101</v>
      </c>
      <c r="B18" s="9" t="s">
        <v>102</v>
      </c>
      <c r="C18" s="10">
        <v>171</v>
      </c>
      <c r="D18" s="9" t="s">
        <v>89</v>
      </c>
      <c r="E18" s="10"/>
      <c r="F18" s="10">
        <f>C18*E18</f>
        <v>0</v>
      </c>
      <c r="G18" s="9"/>
    </row>
    <row r="19" spans="1:7" x14ac:dyDescent="0.45">
      <c r="A19" s="9"/>
      <c r="B19" s="9"/>
      <c r="C19" s="9"/>
      <c r="D19" s="9"/>
      <c r="E19" s="9"/>
      <c r="F19" s="9"/>
      <c r="G19" s="9"/>
    </row>
  </sheetData>
  <phoneticPr fontId="3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9EE2-68D9-43AA-B173-87652A7FCC13}">
  <sheetPr codeName="Sheet32"/>
  <dimension ref="A1:G18"/>
  <sheetViews>
    <sheetView zoomScale="140" zoomScaleNormal="140" workbookViewId="0">
      <selection activeCell="A5" sqref="A5:G5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30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9</v>
      </c>
      <c r="B4" s="9"/>
      <c r="C4" s="10"/>
      <c r="D4" s="9"/>
      <c r="E4" s="10"/>
      <c r="F4" s="10"/>
      <c r="G4" s="9"/>
    </row>
    <row r="5" spans="1:7" ht="21.6" customHeight="1" x14ac:dyDescent="0.45">
      <c r="A5" s="9"/>
      <c r="B5" s="9"/>
      <c r="C5" s="9"/>
      <c r="D5" s="9"/>
      <c r="E5" s="9"/>
      <c r="F5" s="9"/>
      <c r="G5" s="9"/>
    </row>
    <row r="6" spans="1:7" ht="21.6" customHeight="1" x14ac:dyDescent="0.45">
      <c r="A6" s="9"/>
      <c r="B6" s="9"/>
      <c r="C6" s="9"/>
      <c r="D6" s="9"/>
      <c r="E6" s="9"/>
      <c r="F6" s="9"/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8FA5-7086-4591-87A5-3776EBC6F08C}">
  <sheetPr codeName="Sheet33"/>
  <dimension ref="A1:G19"/>
  <sheetViews>
    <sheetView zoomScale="140" zoomScaleNormal="140" workbookViewId="0">
      <selection activeCell="A5" sqref="A5:G1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31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127</v>
      </c>
      <c r="B4" s="9"/>
      <c r="C4" s="10">
        <v>1305</v>
      </c>
      <c r="D4" s="9" t="s">
        <v>86</v>
      </c>
      <c r="E4" s="10"/>
      <c r="F4" s="10">
        <f>C4*E4</f>
        <v>0</v>
      </c>
      <c r="G4" s="9"/>
    </row>
    <row r="5" spans="1:7" ht="21.6" customHeight="1" x14ac:dyDescent="0.45">
      <c r="A5" s="9" t="s">
        <v>128</v>
      </c>
      <c r="B5" s="9" t="s">
        <v>129</v>
      </c>
      <c r="C5" s="10">
        <v>611</v>
      </c>
      <c r="D5" s="9" t="s">
        <v>86</v>
      </c>
      <c r="E5" s="10"/>
      <c r="F5" s="10">
        <f>C5*E5</f>
        <v>0</v>
      </c>
      <c r="G5" s="9"/>
    </row>
    <row r="6" spans="1:7" ht="21.6" customHeight="1" x14ac:dyDescent="0.45">
      <c r="A6" s="9" t="s">
        <v>130</v>
      </c>
      <c r="B6" s="9" t="s">
        <v>131</v>
      </c>
      <c r="C6" s="10">
        <v>341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133</v>
      </c>
      <c r="B7" s="9" t="s">
        <v>134</v>
      </c>
      <c r="C7" s="10">
        <v>12.2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135</v>
      </c>
      <c r="B8" s="9" t="s">
        <v>136</v>
      </c>
      <c r="C8" s="10">
        <v>11</v>
      </c>
      <c r="D8" s="9" t="s">
        <v>137</v>
      </c>
      <c r="E8" s="10"/>
      <c r="F8" s="10">
        <f>C8*E8</f>
        <v>0</v>
      </c>
      <c r="G8" s="9"/>
    </row>
    <row r="9" spans="1:7" ht="21.6" customHeight="1" x14ac:dyDescent="0.45">
      <c r="A9" s="9" t="s">
        <v>133</v>
      </c>
      <c r="B9" s="9" t="s">
        <v>138</v>
      </c>
      <c r="C9" s="10">
        <v>49.2</v>
      </c>
      <c r="D9" s="9" t="s">
        <v>132</v>
      </c>
      <c r="E9" s="10"/>
      <c r="F9" s="10">
        <f>C9*E9</f>
        <v>0</v>
      </c>
      <c r="G9" s="9"/>
    </row>
    <row r="10" spans="1:7" ht="21.6" customHeight="1" x14ac:dyDescent="0.45">
      <c r="A10" s="9" t="s">
        <v>139</v>
      </c>
      <c r="B10" s="9" t="s">
        <v>140</v>
      </c>
      <c r="C10" s="10">
        <v>2</v>
      </c>
      <c r="D10" s="9" t="s">
        <v>137</v>
      </c>
      <c r="E10" s="10"/>
      <c r="F10" s="10">
        <f>C10*E10</f>
        <v>0</v>
      </c>
      <c r="G10" s="9"/>
    </row>
    <row r="11" spans="1:7" ht="21.6" customHeight="1" x14ac:dyDescent="0.45">
      <c r="A11" s="9" t="s">
        <v>141</v>
      </c>
      <c r="B11" s="9" t="s">
        <v>142</v>
      </c>
      <c r="C11" s="10">
        <v>106</v>
      </c>
      <c r="D11" s="9" t="s">
        <v>132</v>
      </c>
      <c r="E11" s="10"/>
      <c r="F11" s="10">
        <f>C11*E11</f>
        <v>0</v>
      </c>
      <c r="G11" s="9"/>
    </row>
    <row r="12" spans="1:7" ht="21.6" customHeight="1" x14ac:dyDescent="0.45">
      <c r="A12" s="9" t="s">
        <v>143</v>
      </c>
      <c r="B12" s="9" t="s">
        <v>144</v>
      </c>
      <c r="C12" s="10">
        <v>1</v>
      </c>
      <c r="D12" s="9" t="s">
        <v>137</v>
      </c>
      <c r="E12" s="10"/>
      <c r="F12" s="10">
        <f>C12*E12</f>
        <v>0</v>
      </c>
      <c r="G12" s="9"/>
    </row>
    <row r="13" spans="1:7" ht="21.6" customHeight="1" x14ac:dyDescent="0.45">
      <c r="A13" s="9" t="s">
        <v>145</v>
      </c>
      <c r="B13" s="9" t="s">
        <v>146</v>
      </c>
      <c r="C13" s="10">
        <v>109</v>
      </c>
      <c r="D13" s="9" t="s">
        <v>132</v>
      </c>
      <c r="E13" s="10"/>
      <c r="F13" s="10">
        <f>C13*E13</f>
        <v>0</v>
      </c>
      <c r="G13" s="9"/>
    </row>
    <row r="14" spans="1:7" ht="21.6" customHeight="1" x14ac:dyDescent="0.45">
      <c r="A14" s="9" t="s">
        <v>103</v>
      </c>
      <c r="B14" s="9" t="s">
        <v>147</v>
      </c>
      <c r="C14" s="10">
        <v>1</v>
      </c>
      <c r="D14" s="9" t="s">
        <v>8</v>
      </c>
      <c r="E14" s="10"/>
      <c r="F14" s="10">
        <f>'57'!F4</f>
        <v>0</v>
      </c>
      <c r="G14" s="9" t="s">
        <v>148</v>
      </c>
    </row>
    <row r="15" spans="1:7" ht="21.6" customHeight="1" x14ac:dyDescent="0.45">
      <c r="A15" s="9" t="s">
        <v>149</v>
      </c>
      <c r="B15" s="9" t="s">
        <v>150</v>
      </c>
      <c r="C15" s="10">
        <v>6</v>
      </c>
      <c r="D15" s="9" t="s">
        <v>151</v>
      </c>
      <c r="E15" s="10"/>
      <c r="F15" s="10">
        <f>C15*E15</f>
        <v>0</v>
      </c>
      <c r="G15" s="9"/>
    </row>
    <row r="16" spans="1:7" ht="21.6" customHeight="1" x14ac:dyDescent="0.45">
      <c r="A16" s="9" t="s">
        <v>149</v>
      </c>
      <c r="B16" s="9" t="s">
        <v>152</v>
      </c>
      <c r="C16" s="10">
        <v>7</v>
      </c>
      <c r="D16" s="9" t="s">
        <v>151</v>
      </c>
      <c r="E16" s="10"/>
      <c r="F16" s="10">
        <f>C16*E16</f>
        <v>0</v>
      </c>
      <c r="G16" s="9"/>
    </row>
    <row r="17" spans="1:7" ht="21.6" customHeight="1" x14ac:dyDescent="0.45">
      <c r="A17" s="9" t="s">
        <v>149</v>
      </c>
      <c r="B17" s="9" t="s">
        <v>153</v>
      </c>
      <c r="C17" s="10">
        <v>7</v>
      </c>
      <c r="D17" s="9" t="s">
        <v>151</v>
      </c>
      <c r="E17" s="10"/>
      <c r="F17" s="10">
        <f>C17*E17</f>
        <v>0</v>
      </c>
      <c r="G17" s="9"/>
    </row>
    <row r="18" spans="1:7" ht="21.6" customHeight="1" x14ac:dyDescent="0.45">
      <c r="A18" s="9" t="s">
        <v>9</v>
      </c>
      <c r="B18" s="9"/>
      <c r="C18" s="10"/>
      <c r="D18" s="9"/>
      <c r="E18" s="10"/>
      <c r="F18" s="10">
        <f>SUM(F4:F17)</f>
        <v>0</v>
      </c>
      <c r="G18" s="9"/>
    </row>
    <row r="19" spans="1:7" x14ac:dyDescent="0.45">
      <c r="A19" s="9"/>
      <c r="B19" s="9"/>
      <c r="C19" s="9"/>
      <c r="D19" s="9"/>
      <c r="E19" s="9"/>
      <c r="F19" s="9"/>
      <c r="G19" s="9"/>
    </row>
  </sheetData>
  <phoneticPr fontId="3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D33E-33A6-4CDB-9840-1AE0FAEC46B2}">
  <sheetPr codeName="Sheet34"/>
  <dimension ref="A1:G18"/>
  <sheetViews>
    <sheetView zoomScale="140" zoomScaleNormal="140" workbookViewId="0">
      <selection activeCell="A5" sqref="A5:G12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77</v>
      </c>
      <c r="G1" s="3">
        <v>32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154</v>
      </c>
      <c r="B4" s="9" t="s">
        <v>155</v>
      </c>
      <c r="C4" s="10">
        <v>2164</v>
      </c>
      <c r="D4" s="9" t="s">
        <v>86</v>
      </c>
      <c r="E4" s="10"/>
      <c r="F4" s="10">
        <f>C4*E4</f>
        <v>0</v>
      </c>
      <c r="G4" s="9"/>
    </row>
    <row r="5" spans="1:7" ht="21.6" customHeight="1" x14ac:dyDescent="0.45">
      <c r="A5" s="9" t="s">
        <v>156</v>
      </c>
      <c r="B5" s="9" t="s">
        <v>157</v>
      </c>
      <c r="C5" s="10">
        <v>2164</v>
      </c>
      <c r="D5" s="9" t="s">
        <v>86</v>
      </c>
      <c r="E5" s="10"/>
      <c r="F5" s="10">
        <f>C5*E5</f>
        <v>0</v>
      </c>
      <c r="G5" s="9"/>
    </row>
    <row r="6" spans="1:7" ht="21.6" customHeight="1" x14ac:dyDescent="0.45">
      <c r="A6" s="9" t="s">
        <v>158</v>
      </c>
      <c r="B6" s="9"/>
      <c r="C6" s="10">
        <v>2164</v>
      </c>
      <c r="D6" s="9" t="s">
        <v>86</v>
      </c>
      <c r="E6" s="10"/>
      <c r="F6" s="10">
        <f>C6*E6</f>
        <v>0</v>
      </c>
      <c r="G6" s="9"/>
    </row>
    <row r="7" spans="1:7" ht="21.6" customHeight="1" x14ac:dyDescent="0.45">
      <c r="A7" s="9" t="s">
        <v>159</v>
      </c>
      <c r="B7" s="9" t="s">
        <v>160</v>
      </c>
      <c r="C7" s="10">
        <v>12.2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161</v>
      </c>
      <c r="B8" s="9" t="s">
        <v>162</v>
      </c>
      <c r="C8" s="10">
        <v>2.4</v>
      </c>
      <c r="D8" s="9" t="s">
        <v>86</v>
      </c>
      <c r="E8" s="10"/>
      <c r="F8" s="10">
        <f>C8*E8</f>
        <v>0</v>
      </c>
      <c r="G8" s="9"/>
    </row>
    <row r="9" spans="1:7" ht="21.6" customHeight="1" x14ac:dyDescent="0.45">
      <c r="A9" s="9" t="s">
        <v>163</v>
      </c>
      <c r="B9" s="9" t="s">
        <v>162</v>
      </c>
      <c r="C9" s="10">
        <v>69.2</v>
      </c>
      <c r="D9" s="9" t="s">
        <v>132</v>
      </c>
      <c r="E9" s="10"/>
      <c r="F9" s="10">
        <f>C9*E9</f>
        <v>0</v>
      </c>
      <c r="G9" s="9"/>
    </row>
    <row r="10" spans="1:7" ht="21.6" customHeight="1" x14ac:dyDescent="0.45">
      <c r="A10" s="9" t="s">
        <v>164</v>
      </c>
      <c r="B10" s="9" t="s">
        <v>165</v>
      </c>
      <c r="C10" s="10"/>
      <c r="D10" s="9" t="s">
        <v>137</v>
      </c>
      <c r="E10" s="10"/>
      <c r="F10" s="10">
        <f>C10*E10</f>
        <v>0</v>
      </c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f>SUM(F4:F10)</f>
        <v>0</v>
      </c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2C85-893F-4BD9-8626-669416E5C806}">
  <sheetPr codeName="Sheet35"/>
  <dimension ref="A1:G18"/>
  <sheetViews>
    <sheetView zoomScale="140" zoomScaleNormal="140" workbookViewId="0">
      <selection activeCell="A5" sqref="A5:G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33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'58'!F4</f>
        <v>0</v>
      </c>
      <c r="G4" s="9" t="s">
        <v>168</v>
      </c>
    </row>
    <row r="5" spans="1:7" ht="21.6" customHeight="1" x14ac:dyDescent="0.45">
      <c r="A5" s="9" t="s">
        <v>169</v>
      </c>
      <c r="B5" s="9"/>
      <c r="C5" s="10">
        <v>1</v>
      </c>
      <c r="D5" s="9" t="s">
        <v>8</v>
      </c>
      <c r="E5" s="10"/>
      <c r="F5" s="10">
        <f>'59'!F4</f>
        <v>0</v>
      </c>
      <c r="G5" s="9" t="s">
        <v>170</v>
      </c>
    </row>
    <row r="6" spans="1:7" ht="21.6" customHeight="1" x14ac:dyDescent="0.45">
      <c r="A6" s="9" t="s">
        <v>171</v>
      </c>
      <c r="B6" s="9"/>
      <c r="C6" s="10">
        <v>1</v>
      </c>
      <c r="D6" s="9" t="s">
        <v>8</v>
      </c>
      <c r="E6" s="10"/>
      <c r="F6" s="10">
        <f>'59'!F12</f>
        <v>0</v>
      </c>
      <c r="G6" s="9" t="s">
        <v>172</v>
      </c>
    </row>
    <row r="7" spans="1:7" ht="21.6" customHeight="1" x14ac:dyDescent="0.45">
      <c r="A7" s="9" t="s">
        <v>9</v>
      </c>
      <c r="B7" s="9"/>
      <c r="C7" s="10"/>
      <c r="D7" s="9"/>
      <c r="E7" s="10"/>
      <c r="F7" s="10">
        <f>SUM(F4:F6)</f>
        <v>0</v>
      </c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B566-2CBF-49F1-8391-FE8663FD27AA}">
  <sheetPr codeName="Sheet36"/>
  <dimension ref="A1:G18"/>
  <sheetViews>
    <sheetView zoomScale="140" zoomScaleNormal="140" workbookViewId="0">
      <selection activeCell="A5" sqref="A5:G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34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173</v>
      </c>
      <c r="B4" s="9"/>
      <c r="C4" s="10">
        <v>1</v>
      </c>
      <c r="D4" s="9" t="s">
        <v>8</v>
      </c>
      <c r="E4" s="10"/>
      <c r="F4" s="10">
        <f>'60'!F4</f>
        <v>0</v>
      </c>
      <c r="G4" s="9" t="s">
        <v>174</v>
      </c>
    </row>
    <row r="5" spans="1:7" ht="21.6" customHeight="1" x14ac:dyDescent="0.45">
      <c r="A5" s="9" t="s">
        <v>9</v>
      </c>
      <c r="B5" s="9"/>
      <c r="C5" s="10"/>
      <c r="D5" s="9"/>
      <c r="E5" s="10"/>
      <c r="F5" s="10">
        <f>SUM(F4:F4)</f>
        <v>0</v>
      </c>
      <c r="G5" s="9"/>
    </row>
    <row r="6" spans="1:7" ht="21.6" customHeight="1" x14ac:dyDescent="0.45">
      <c r="A6" s="9"/>
      <c r="B6" s="9"/>
      <c r="C6" s="9"/>
      <c r="D6" s="9"/>
      <c r="E6" s="9"/>
      <c r="F6" s="9"/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4C84-6934-4241-A07E-B2AF62CBE950}">
  <sheetPr codeName="Sheet37"/>
  <dimension ref="A1:G18"/>
  <sheetViews>
    <sheetView zoomScale="140" zoomScaleNormal="140" workbookViewId="0">
      <selection activeCell="A5" sqref="A5:G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35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'61'!F4</f>
        <v>0</v>
      </c>
      <c r="G4" s="9" t="s">
        <v>175</v>
      </c>
    </row>
    <row r="5" spans="1:7" ht="21.6" customHeight="1" x14ac:dyDescent="0.45">
      <c r="A5" s="9" t="s">
        <v>176</v>
      </c>
      <c r="B5" s="9"/>
      <c r="C5" s="10">
        <v>1</v>
      </c>
      <c r="D5" s="9" t="s">
        <v>8</v>
      </c>
      <c r="E5" s="10"/>
      <c r="F5" s="10">
        <f>'61'!F9</f>
        <v>0</v>
      </c>
      <c r="G5" s="9" t="s">
        <v>177</v>
      </c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SUM(F4:F5)</f>
        <v>0</v>
      </c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B3DD-6D9B-4001-AE84-C950A46D8689}">
  <sheetPr codeName="Sheet38"/>
  <dimension ref="A1:G18"/>
  <sheetViews>
    <sheetView zoomScale="140" zoomScaleNormal="140" workbookViewId="0">
      <selection activeCell="A5" sqref="A5:G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36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178</v>
      </c>
      <c r="B4" s="9"/>
      <c r="C4" s="10">
        <v>1</v>
      </c>
      <c r="D4" s="9" t="s">
        <v>8</v>
      </c>
      <c r="E4" s="10"/>
      <c r="F4" s="10">
        <f>'62'!F4</f>
        <v>0</v>
      </c>
      <c r="G4" s="9" t="s">
        <v>179</v>
      </c>
    </row>
    <row r="5" spans="1:7" ht="21.6" customHeight="1" x14ac:dyDescent="0.45">
      <c r="A5" s="9" t="s">
        <v>180</v>
      </c>
      <c r="B5" s="9"/>
      <c r="C5" s="10">
        <v>1</v>
      </c>
      <c r="D5" s="9" t="s">
        <v>8</v>
      </c>
      <c r="E5" s="10"/>
      <c r="F5" s="10">
        <f>'62'!F9</f>
        <v>0</v>
      </c>
      <c r="G5" s="9" t="s">
        <v>181</v>
      </c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SUM(F4:F5)</f>
        <v>0</v>
      </c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F49C-F7F6-4D97-AAB9-0E7029647BA6}">
  <sheetPr codeName="Sheet39"/>
  <dimension ref="A1:G18"/>
  <sheetViews>
    <sheetView zoomScale="140" zoomScaleNormal="140" workbookViewId="0">
      <selection activeCell="A5" sqref="A5:G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37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182</v>
      </c>
      <c r="B4" s="9"/>
      <c r="C4" s="10">
        <v>1</v>
      </c>
      <c r="D4" s="9" t="s">
        <v>8</v>
      </c>
      <c r="E4" s="10"/>
      <c r="F4" s="10">
        <f>'63'!F4</f>
        <v>0</v>
      </c>
      <c r="G4" s="9" t="s">
        <v>183</v>
      </c>
    </row>
    <row r="5" spans="1:7" ht="21.6" customHeight="1" x14ac:dyDescent="0.45">
      <c r="A5" s="9" t="s">
        <v>9</v>
      </c>
      <c r="B5" s="9"/>
      <c r="C5" s="10"/>
      <c r="D5" s="9"/>
      <c r="E5" s="10"/>
      <c r="F5" s="10">
        <f>SUM(F4:F4)</f>
        <v>0</v>
      </c>
      <c r="G5" s="9"/>
    </row>
    <row r="6" spans="1:7" ht="21.6" customHeight="1" x14ac:dyDescent="0.45">
      <c r="A6" s="9"/>
      <c r="B6" s="9"/>
      <c r="C6" s="9"/>
      <c r="D6" s="9"/>
      <c r="E6" s="9"/>
      <c r="F6" s="9"/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801A-A61C-4169-9E0C-8590A776F76B}">
  <sheetPr codeName="Sheet40"/>
  <dimension ref="A1:G18"/>
  <sheetViews>
    <sheetView zoomScale="140" zoomScaleNormal="140" workbookViewId="0">
      <selection activeCell="A5" sqref="A5:G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38</v>
      </c>
    </row>
    <row r="2" spans="1:7" ht="10.199999999999999" customHeight="1" x14ac:dyDescent="0.45">
      <c r="A2" s="4" t="s">
        <v>52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'64'!F4</f>
        <v>0</v>
      </c>
      <c r="G4" s="9" t="s">
        <v>184</v>
      </c>
    </row>
    <row r="5" spans="1:7" ht="21.6" customHeight="1" x14ac:dyDescent="0.45">
      <c r="A5" s="9" t="s">
        <v>173</v>
      </c>
      <c r="B5" s="9"/>
      <c r="C5" s="10">
        <v>1</v>
      </c>
      <c r="D5" s="9" t="s">
        <v>8</v>
      </c>
      <c r="E5" s="10"/>
      <c r="F5" s="10">
        <f>'64'!F10</f>
        <v>0</v>
      </c>
      <c r="G5" s="9" t="s">
        <v>185</v>
      </c>
    </row>
    <row r="6" spans="1:7" ht="21.6" customHeight="1" x14ac:dyDescent="0.45">
      <c r="A6" s="9" t="s">
        <v>186</v>
      </c>
      <c r="B6" s="9"/>
      <c r="C6" s="10">
        <v>1</v>
      </c>
      <c r="D6" s="9" t="s">
        <v>8</v>
      </c>
      <c r="E6" s="10"/>
      <c r="F6" s="10">
        <f>'65'!F4</f>
        <v>0</v>
      </c>
      <c r="G6" s="9" t="s">
        <v>187</v>
      </c>
    </row>
    <row r="7" spans="1:7" ht="21.6" customHeight="1" x14ac:dyDescent="0.45">
      <c r="A7" s="9" t="s">
        <v>9</v>
      </c>
      <c r="B7" s="9"/>
      <c r="C7" s="10"/>
      <c r="D7" s="9"/>
      <c r="E7" s="10"/>
      <c r="F7" s="10">
        <f>SUM(F4:F6)</f>
        <v>0</v>
      </c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B066-CB49-4DF4-B4F0-28E2CF505134}">
  <sheetPr codeName="Sheet41"/>
  <dimension ref="A1:G18"/>
  <sheetViews>
    <sheetView zoomScale="140" zoomScaleNormal="140" workbookViewId="0">
      <selection activeCell="A5" sqref="A5:G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39</v>
      </c>
    </row>
    <row r="2" spans="1:7" ht="10.199999999999999" customHeight="1" x14ac:dyDescent="0.45">
      <c r="A2" s="4" t="s">
        <v>54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'66'!F4</f>
        <v>0</v>
      </c>
      <c r="G4" s="9" t="s">
        <v>188</v>
      </c>
    </row>
    <row r="5" spans="1:7" ht="21.6" customHeight="1" x14ac:dyDescent="0.45">
      <c r="A5" s="9" t="s">
        <v>173</v>
      </c>
      <c r="B5" s="9"/>
      <c r="C5" s="10">
        <v>1</v>
      </c>
      <c r="D5" s="9" t="s">
        <v>8</v>
      </c>
      <c r="E5" s="10"/>
      <c r="F5" s="10">
        <f>'66'!F8</f>
        <v>0</v>
      </c>
      <c r="G5" s="9" t="s">
        <v>189</v>
      </c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SUM(F4:F5)</f>
        <v>0</v>
      </c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F80F-CBB2-4594-A7DA-AFB5D666E647}">
  <sheetPr codeName="Sheet42"/>
  <dimension ref="A1:G18"/>
  <sheetViews>
    <sheetView zoomScale="140" zoomScaleNormal="140" workbookViewId="0">
      <selection activeCell="A5" sqref="A5:G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166</v>
      </c>
      <c r="G1" s="3">
        <v>40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190</v>
      </c>
      <c r="B4" s="9"/>
      <c r="C4" s="10">
        <v>1</v>
      </c>
      <c r="D4" s="9" t="s">
        <v>8</v>
      </c>
      <c r="E4" s="10"/>
      <c r="F4" s="10">
        <f>'67'!F4</f>
        <v>0</v>
      </c>
      <c r="G4" s="9" t="s">
        <v>191</v>
      </c>
    </row>
    <row r="5" spans="1:7" ht="21.6" customHeight="1" x14ac:dyDescent="0.45">
      <c r="A5" s="9" t="s">
        <v>9</v>
      </c>
      <c r="B5" s="9"/>
      <c r="C5" s="10"/>
      <c r="D5" s="9"/>
      <c r="E5" s="10"/>
      <c r="F5" s="10">
        <f>SUM(F4:F4)</f>
        <v>0</v>
      </c>
      <c r="G5" s="9"/>
    </row>
    <row r="6" spans="1:7" ht="21.6" customHeight="1" x14ac:dyDescent="0.45">
      <c r="A6" s="9"/>
      <c r="B6" s="9"/>
      <c r="C6" s="9"/>
      <c r="D6" s="9"/>
      <c r="E6" s="9"/>
      <c r="F6" s="9"/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B39C-6147-4E5D-B294-EE1475996F03}">
  <sheetPr codeName="Sheet43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192</v>
      </c>
      <c r="G1" s="3">
        <v>41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182</v>
      </c>
      <c r="B4" s="9"/>
      <c r="C4" s="10">
        <v>1</v>
      </c>
      <c r="D4" s="9" t="s">
        <v>8</v>
      </c>
      <c r="E4" s="10"/>
      <c r="F4" s="10">
        <f>'68'!F4</f>
        <v>0</v>
      </c>
      <c r="G4" s="9" t="s">
        <v>193</v>
      </c>
    </row>
    <row r="5" spans="1:7" ht="21.6" customHeight="1" x14ac:dyDescent="0.45">
      <c r="A5" s="9" t="s">
        <v>194</v>
      </c>
      <c r="B5" s="9"/>
      <c r="C5" s="10">
        <v>1</v>
      </c>
      <c r="D5" s="9" t="s">
        <v>8</v>
      </c>
      <c r="E5" s="10"/>
      <c r="F5" s="10">
        <f>'68'!F10</f>
        <v>0</v>
      </c>
      <c r="G5" s="9" t="s">
        <v>195</v>
      </c>
    </row>
    <row r="6" spans="1:7" ht="21.6" customHeight="1" x14ac:dyDescent="0.45">
      <c r="A6" s="9" t="s">
        <v>196</v>
      </c>
      <c r="B6" s="9"/>
      <c r="C6" s="10">
        <v>1</v>
      </c>
      <c r="D6" s="9" t="s">
        <v>8</v>
      </c>
      <c r="E6" s="10"/>
      <c r="F6" s="10">
        <f>'69'!F4</f>
        <v>0</v>
      </c>
      <c r="G6" s="9" t="s">
        <v>197</v>
      </c>
    </row>
    <row r="7" spans="1:7" ht="21.6" customHeight="1" x14ac:dyDescent="0.45">
      <c r="A7" s="9" t="s">
        <v>198</v>
      </c>
      <c r="B7" s="9"/>
      <c r="C7" s="10">
        <v>1</v>
      </c>
      <c r="D7" s="9" t="s">
        <v>8</v>
      </c>
      <c r="E7" s="10"/>
      <c r="F7" s="10">
        <f>'70'!F4</f>
        <v>0</v>
      </c>
      <c r="G7" s="9" t="s">
        <v>199</v>
      </c>
    </row>
    <row r="8" spans="1:7" ht="21.6" customHeight="1" x14ac:dyDescent="0.45">
      <c r="A8" s="9" t="s">
        <v>200</v>
      </c>
      <c r="B8" s="9"/>
      <c r="C8" s="10">
        <v>1</v>
      </c>
      <c r="D8" s="9" t="s">
        <v>8</v>
      </c>
      <c r="E8" s="10"/>
      <c r="F8" s="10">
        <f>'70'!F11</f>
        <v>0</v>
      </c>
      <c r="G8" s="9" t="s">
        <v>201</v>
      </c>
    </row>
    <row r="9" spans="1:7" ht="21.6" customHeight="1" x14ac:dyDescent="0.45">
      <c r="A9" s="9" t="s">
        <v>202</v>
      </c>
      <c r="B9" s="9"/>
      <c r="C9" s="10">
        <v>1</v>
      </c>
      <c r="D9" s="9" t="s">
        <v>8</v>
      </c>
      <c r="E9" s="10"/>
      <c r="F9" s="10">
        <f>'71'!F4</f>
        <v>0</v>
      </c>
      <c r="G9" s="9" t="s">
        <v>203</v>
      </c>
    </row>
    <row r="10" spans="1:7" ht="21.6" customHeight="1" x14ac:dyDescent="0.45">
      <c r="A10" s="9" t="s">
        <v>204</v>
      </c>
      <c r="B10" s="9"/>
      <c r="C10" s="10">
        <v>1</v>
      </c>
      <c r="D10" s="9" t="s">
        <v>8</v>
      </c>
      <c r="E10" s="10"/>
      <c r="F10" s="10">
        <f>'71'!F8</f>
        <v>0</v>
      </c>
      <c r="G10" s="9" t="s">
        <v>205</v>
      </c>
    </row>
    <row r="11" spans="1:7" ht="21.6" customHeight="1" x14ac:dyDescent="0.45">
      <c r="A11" s="9" t="s">
        <v>206</v>
      </c>
      <c r="B11" s="9"/>
      <c r="C11" s="10">
        <v>1</v>
      </c>
      <c r="D11" s="9" t="s">
        <v>8</v>
      </c>
      <c r="E11" s="10"/>
      <c r="F11" s="10">
        <f>'72'!F4</f>
        <v>0</v>
      </c>
      <c r="G11" s="9" t="s">
        <v>207</v>
      </c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SUM(F4:F11)</f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67C4-80EE-4F7F-807B-D715E61F34D6}">
  <sheetPr codeName="Sheet44"/>
  <dimension ref="A1:G18"/>
  <sheetViews>
    <sheetView zoomScale="140" zoomScaleNormal="140" workbookViewId="0">
      <selection activeCell="A5" sqref="A5:G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192</v>
      </c>
      <c r="G1" s="3">
        <v>42</v>
      </c>
    </row>
    <row r="2" spans="1:7" ht="10.199999999999999" customHeight="1" x14ac:dyDescent="0.45">
      <c r="A2" s="4" t="s">
        <v>58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182</v>
      </c>
      <c r="B4" s="9"/>
      <c r="C4" s="10">
        <v>1</v>
      </c>
      <c r="D4" s="9" t="s">
        <v>8</v>
      </c>
      <c r="E4" s="10"/>
      <c r="F4" s="10">
        <f>'73'!F4</f>
        <v>0</v>
      </c>
      <c r="G4" s="9" t="s">
        <v>208</v>
      </c>
    </row>
    <row r="5" spans="1:7" ht="21.6" customHeight="1" x14ac:dyDescent="0.45">
      <c r="A5" s="9" t="s">
        <v>196</v>
      </c>
      <c r="B5" s="9"/>
      <c r="C5" s="10">
        <v>1</v>
      </c>
      <c r="D5" s="9" t="s">
        <v>8</v>
      </c>
      <c r="E5" s="10"/>
      <c r="F5" s="10">
        <f>'74'!F4</f>
        <v>0</v>
      </c>
      <c r="G5" s="9" t="s">
        <v>209</v>
      </c>
    </row>
    <row r="6" spans="1:7" ht="21.6" customHeight="1" x14ac:dyDescent="0.45">
      <c r="A6" s="9" t="s">
        <v>198</v>
      </c>
      <c r="B6" s="9"/>
      <c r="C6" s="10">
        <v>1</v>
      </c>
      <c r="D6" s="9" t="s">
        <v>8</v>
      </c>
      <c r="E6" s="10"/>
      <c r="F6" s="10">
        <f>'74'!F10</f>
        <v>0</v>
      </c>
      <c r="G6" s="9" t="s">
        <v>210</v>
      </c>
    </row>
    <row r="7" spans="1:7" ht="21.6" customHeight="1" x14ac:dyDescent="0.45">
      <c r="A7" s="9" t="s">
        <v>202</v>
      </c>
      <c r="B7" s="9"/>
      <c r="C7" s="10">
        <v>1</v>
      </c>
      <c r="D7" s="9" t="s">
        <v>8</v>
      </c>
      <c r="E7" s="10"/>
      <c r="F7" s="10">
        <f>'75'!F4</f>
        <v>0</v>
      </c>
      <c r="G7" s="9" t="s">
        <v>211</v>
      </c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SUM(F4:F7)</f>
        <v>0</v>
      </c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054F-5DB1-4214-86AA-0EF51629065B}">
  <sheetPr codeName="Sheet45"/>
  <dimension ref="A1:G18"/>
  <sheetViews>
    <sheetView zoomScale="140" zoomScaleNormal="140" workbookViewId="0">
      <selection activeCell="A5" sqref="A5:G1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212</v>
      </c>
      <c r="G1" s="3">
        <v>43</v>
      </c>
    </row>
    <row r="2" spans="1:7" ht="10.199999999999999" customHeight="1" x14ac:dyDescent="0.45">
      <c r="A2" s="4" t="s">
        <v>60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213</v>
      </c>
      <c r="B4" s="9"/>
      <c r="C4" s="10"/>
      <c r="D4" s="9"/>
      <c r="E4" s="10"/>
      <c r="F4" s="10"/>
      <c r="G4" s="9"/>
    </row>
    <row r="5" spans="1:7" ht="21.6" customHeight="1" x14ac:dyDescent="0.45">
      <c r="A5" s="9" t="s">
        <v>214</v>
      </c>
      <c r="B5" s="9" t="s">
        <v>215</v>
      </c>
      <c r="C5" s="10">
        <v>1</v>
      </c>
      <c r="D5" s="9" t="s">
        <v>8</v>
      </c>
      <c r="E5" s="10"/>
      <c r="F5" s="10">
        <f>'76'!F4</f>
        <v>0</v>
      </c>
      <c r="G5" s="9" t="s">
        <v>216</v>
      </c>
    </row>
    <row r="6" spans="1:7" ht="21.6" customHeight="1" x14ac:dyDescent="0.45">
      <c r="A6" s="9" t="s">
        <v>217</v>
      </c>
      <c r="B6" s="9"/>
      <c r="C6" s="10"/>
      <c r="D6" s="9"/>
      <c r="E6" s="10"/>
      <c r="F6" s="10"/>
      <c r="G6" s="9"/>
    </row>
    <row r="7" spans="1:7" ht="21.6" customHeight="1" x14ac:dyDescent="0.45">
      <c r="A7" s="9" t="s">
        <v>218</v>
      </c>
      <c r="B7" s="9" t="s">
        <v>219</v>
      </c>
      <c r="C7" s="10">
        <v>708</v>
      </c>
      <c r="D7" s="9" t="s">
        <v>86</v>
      </c>
      <c r="E7" s="10"/>
      <c r="F7" s="10">
        <f>C7*E7</f>
        <v>0</v>
      </c>
      <c r="G7" s="9"/>
    </row>
    <row r="8" spans="1:7" ht="21.6" customHeight="1" x14ac:dyDescent="0.45">
      <c r="A8" s="9" t="s">
        <v>220</v>
      </c>
      <c r="B8" s="9" t="s">
        <v>221</v>
      </c>
      <c r="C8" s="10">
        <v>129</v>
      </c>
      <c r="D8" s="9" t="s">
        <v>86</v>
      </c>
      <c r="E8" s="10"/>
      <c r="F8" s="10">
        <f>C8*E8</f>
        <v>0</v>
      </c>
      <c r="G8" s="9"/>
    </row>
    <row r="9" spans="1:7" ht="21.6" customHeight="1" x14ac:dyDescent="0.45">
      <c r="A9" s="9" t="s">
        <v>222</v>
      </c>
      <c r="B9" s="9" t="s">
        <v>223</v>
      </c>
      <c r="C9" s="10">
        <v>390</v>
      </c>
      <c r="D9" s="9" t="s">
        <v>86</v>
      </c>
      <c r="E9" s="10"/>
      <c r="F9" s="10">
        <f>C9*E9</f>
        <v>0</v>
      </c>
      <c r="G9" s="9"/>
    </row>
    <row r="10" spans="1:7" ht="21.6" customHeight="1" x14ac:dyDescent="0.45">
      <c r="A10" s="9" t="s">
        <v>224</v>
      </c>
      <c r="B10" s="9" t="s">
        <v>221</v>
      </c>
      <c r="C10" s="10">
        <v>34.200000000000003</v>
      </c>
      <c r="D10" s="9" t="s">
        <v>86</v>
      </c>
      <c r="E10" s="10"/>
      <c r="F10" s="10">
        <f>C10*E10</f>
        <v>0</v>
      </c>
      <c r="G10" s="9"/>
    </row>
    <row r="11" spans="1:7" ht="21.6" customHeight="1" x14ac:dyDescent="0.45">
      <c r="A11" s="9" t="s">
        <v>225</v>
      </c>
      <c r="B11" s="9"/>
      <c r="C11" s="10"/>
      <c r="D11" s="9"/>
      <c r="E11" s="10"/>
      <c r="F11" s="10"/>
      <c r="G11" s="9"/>
    </row>
    <row r="12" spans="1:7" ht="21.6" customHeight="1" x14ac:dyDescent="0.45">
      <c r="A12" s="9" t="s">
        <v>226</v>
      </c>
      <c r="B12" s="9" t="s">
        <v>227</v>
      </c>
      <c r="C12" s="10">
        <v>8</v>
      </c>
      <c r="D12" s="9" t="s">
        <v>137</v>
      </c>
      <c r="E12" s="10"/>
      <c r="F12" s="10">
        <f>C12*E12</f>
        <v>0</v>
      </c>
      <c r="G12" s="9"/>
    </row>
    <row r="13" spans="1:7" ht="21.6" customHeight="1" x14ac:dyDescent="0.45">
      <c r="A13" s="9" t="s">
        <v>228</v>
      </c>
      <c r="B13" s="9"/>
      <c r="C13" s="10"/>
      <c r="D13" s="9"/>
      <c r="E13" s="10"/>
      <c r="F13" s="10"/>
      <c r="G13" s="9"/>
    </row>
    <row r="14" spans="1:7" ht="21.6" customHeight="1" x14ac:dyDescent="0.45">
      <c r="A14" s="9" t="s">
        <v>229</v>
      </c>
      <c r="B14" s="9" t="s">
        <v>230</v>
      </c>
      <c r="C14" s="10">
        <v>8.6999999999999993</v>
      </c>
      <c r="D14" s="9" t="s">
        <v>89</v>
      </c>
      <c r="E14" s="10"/>
      <c r="F14" s="10">
        <f>C14*E14</f>
        <v>0</v>
      </c>
      <c r="G14" s="9"/>
    </row>
    <row r="15" spans="1:7" ht="21.6" customHeight="1" x14ac:dyDescent="0.45">
      <c r="A15" s="9" t="s">
        <v>231</v>
      </c>
      <c r="B15" s="9" t="s">
        <v>232</v>
      </c>
      <c r="C15" s="10">
        <v>8.6999999999999993</v>
      </c>
      <c r="D15" s="9" t="s">
        <v>89</v>
      </c>
      <c r="E15" s="10"/>
      <c r="F15" s="10">
        <f>C15*E15</f>
        <v>0</v>
      </c>
      <c r="G15" s="9"/>
    </row>
    <row r="16" spans="1:7" ht="21.6" customHeight="1" x14ac:dyDescent="0.45">
      <c r="A16" s="9" t="s">
        <v>233</v>
      </c>
      <c r="B16" s="9" t="s">
        <v>234</v>
      </c>
      <c r="C16" s="10">
        <v>8.6999999999999993</v>
      </c>
      <c r="D16" s="9" t="s">
        <v>89</v>
      </c>
      <c r="E16" s="10"/>
      <c r="F16" s="10">
        <f>C16*E16</f>
        <v>0</v>
      </c>
      <c r="G16" s="9"/>
    </row>
    <row r="17" spans="1:7" ht="21.6" customHeight="1" x14ac:dyDescent="0.45">
      <c r="A17" s="9" t="s">
        <v>235</v>
      </c>
      <c r="B17" s="9" t="s">
        <v>236</v>
      </c>
      <c r="C17" s="10">
        <v>25</v>
      </c>
      <c r="D17" s="9" t="s">
        <v>89</v>
      </c>
      <c r="E17" s="10"/>
      <c r="F17" s="10">
        <f>C17*E17</f>
        <v>0</v>
      </c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0E7F-2ABC-4AF1-99A1-EBC6449BAD0B}">
  <sheetPr codeName="Sheet46"/>
  <dimension ref="A1:G18"/>
  <sheetViews>
    <sheetView zoomScale="140" zoomScaleNormal="140" workbookViewId="0">
      <selection activeCell="A5" sqref="A5:G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212</v>
      </c>
      <c r="G1" s="3">
        <v>44</v>
      </c>
    </row>
    <row r="2" spans="1:7" ht="10.199999999999999" customHeight="1" x14ac:dyDescent="0.45">
      <c r="A2" s="4" t="s">
        <v>60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237</v>
      </c>
      <c r="B4" s="9" t="s">
        <v>238</v>
      </c>
      <c r="C4" s="10">
        <v>13.8</v>
      </c>
      <c r="D4" s="9" t="s">
        <v>239</v>
      </c>
      <c r="E4" s="10"/>
      <c r="F4" s="10">
        <f>C4*E4</f>
        <v>0</v>
      </c>
      <c r="G4" s="9"/>
    </row>
    <row r="5" spans="1:7" ht="21.6" customHeight="1" x14ac:dyDescent="0.45">
      <c r="A5" s="9" t="s">
        <v>9</v>
      </c>
      <c r="B5" s="9"/>
      <c r="C5" s="10"/>
      <c r="D5" s="9"/>
      <c r="E5" s="10"/>
      <c r="F5" s="10">
        <f>SUM(F4:F4)</f>
        <v>0</v>
      </c>
      <c r="G5" s="9"/>
    </row>
    <row r="6" spans="1:7" ht="21.6" customHeight="1" x14ac:dyDescent="0.45">
      <c r="A6" s="9"/>
      <c r="B6" s="9"/>
      <c r="C6" s="9"/>
      <c r="D6" s="9"/>
      <c r="E6" s="9"/>
      <c r="F6" s="9"/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F66A-E3F9-4D02-B0A7-4388BBF75710}">
  <sheetPr codeName="Sheet47"/>
  <dimension ref="A1:G18"/>
  <sheetViews>
    <sheetView zoomScale="140" zoomScaleNormal="140" workbookViewId="0">
      <selection activeCell="A5" sqref="A5:G1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240</v>
      </c>
      <c r="G1" s="3">
        <v>45</v>
      </c>
    </row>
    <row r="2" spans="1:7" ht="10.199999999999999" customHeight="1" x14ac:dyDescent="0.45">
      <c r="A2" s="4" t="s">
        <v>63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241</v>
      </c>
      <c r="B4" s="9" t="s">
        <v>242</v>
      </c>
      <c r="C4" s="10">
        <v>1596</v>
      </c>
      <c r="D4" s="9" t="s">
        <v>89</v>
      </c>
      <c r="E4" s="10"/>
      <c r="F4" s="10">
        <f>C4*E4</f>
        <v>0</v>
      </c>
      <c r="G4" s="9"/>
    </row>
    <row r="5" spans="1:7" ht="21.6" customHeight="1" x14ac:dyDescent="0.45">
      <c r="A5" s="9" t="s">
        <v>243</v>
      </c>
      <c r="B5" s="9" t="s">
        <v>242</v>
      </c>
      <c r="C5" s="10">
        <v>145</v>
      </c>
      <c r="D5" s="9" t="s">
        <v>89</v>
      </c>
      <c r="E5" s="10"/>
      <c r="F5" s="10">
        <f>C5*E5</f>
        <v>0</v>
      </c>
      <c r="G5" s="9"/>
    </row>
    <row r="6" spans="1:7" ht="21.6" customHeight="1" x14ac:dyDescent="0.45">
      <c r="A6" s="9" t="s">
        <v>233</v>
      </c>
      <c r="B6" s="9" t="s">
        <v>244</v>
      </c>
      <c r="C6" s="10">
        <v>1244</v>
      </c>
      <c r="D6" s="9" t="s">
        <v>89</v>
      </c>
      <c r="E6" s="10"/>
      <c r="F6" s="10">
        <f>C6*E6</f>
        <v>0</v>
      </c>
      <c r="G6" s="9"/>
    </row>
    <row r="7" spans="1:7" ht="21.6" customHeight="1" x14ac:dyDescent="0.45">
      <c r="A7" s="9" t="s">
        <v>233</v>
      </c>
      <c r="B7" s="9" t="s">
        <v>245</v>
      </c>
      <c r="C7" s="10">
        <v>86</v>
      </c>
      <c r="D7" s="9" t="s">
        <v>246</v>
      </c>
      <c r="E7" s="10"/>
      <c r="F7" s="10">
        <f>C7*E7</f>
        <v>0</v>
      </c>
      <c r="G7" s="9"/>
    </row>
    <row r="8" spans="1:7" ht="21.6" customHeight="1" x14ac:dyDescent="0.45">
      <c r="A8" s="9" t="s">
        <v>233</v>
      </c>
      <c r="B8" s="9" t="s">
        <v>247</v>
      </c>
      <c r="C8" s="10">
        <v>236</v>
      </c>
      <c r="D8" s="9" t="s">
        <v>89</v>
      </c>
      <c r="E8" s="10"/>
      <c r="F8" s="10">
        <f>C8*E8</f>
        <v>0</v>
      </c>
      <c r="G8" s="9"/>
    </row>
    <row r="9" spans="1:7" ht="21.6" customHeight="1" x14ac:dyDescent="0.45">
      <c r="A9" s="9" t="s">
        <v>233</v>
      </c>
      <c r="B9" s="9" t="s">
        <v>248</v>
      </c>
      <c r="C9" s="10">
        <v>30.6</v>
      </c>
      <c r="D9" s="9" t="s">
        <v>89</v>
      </c>
      <c r="E9" s="10"/>
      <c r="F9" s="10">
        <f>C9*E9</f>
        <v>0</v>
      </c>
      <c r="G9" s="9"/>
    </row>
    <row r="10" spans="1:7" ht="21.6" customHeight="1" x14ac:dyDescent="0.45">
      <c r="A10" s="9" t="s">
        <v>233</v>
      </c>
      <c r="B10" s="9" t="s">
        <v>249</v>
      </c>
      <c r="C10" s="10">
        <v>11.9</v>
      </c>
      <c r="D10" s="9" t="s">
        <v>89</v>
      </c>
      <c r="E10" s="10"/>
      <c r="F10" s="10">
        <f>C10*E10</f>
        <v>0</v>
      </c>
      <c r="G10" s="9"/>
    </row>
    <row r="11" spans="1:7" ht="21.6" customHeight="1" x14ac:dyDescent="0.45">
      <c r="A11" s="9" t="s">
        <v>233</v>
      </c>
      <c r="B11" s="9" t="s">
        <v>250</v>
      </c>
      <c r="C11" s="10">
        <v>73.099999999999994</v>
      </c>
      <c r="D11" s="9" t="s">
        <v>89</v>
      </c>
      <c r="E11" s="10"/>
      <c r="F11" s="10">
        <f>C11*E11</f>
        <v>0</v>
      </c>
      <c r="G11" s="9"/>
    </row>
    <row r="12" spans="1:7" ht="21.6" customHeight="1" x14ac:dyDescent="0.45">
      <c r="A12" s="9" t="s">
        <v>233</v>
      </c>
      <c r="B12" s="9" t="s">
        <v>251</v>
      </c>
      <c r="C12" s="10">
        <v>5</v>
      </c>
      <c r="D12" s="9" t="s">
        <v>89</v>
      </c>
      <c r="E12" s="10"/>
      <c r="F12" s="10">
        <f>C12*E12</f>
        <v>0</v>
      </c>
      <c r="G12" s="9"/>
    </row>
    <row r="13" spans="1:7" ht="21.6" customHeight="1" x14ac:dyDescent="0.45">
      <c r="A13" s="9" t="s">
        <v>233</v>
      </c>
      <c r="B13" s="9" t="s">
        <v>252</v>
      </c>
      <c r="C13" s="10">
        <v>12.9</v>
      </c>
      <c r="D13" s="9" t="s">
        <v>89</v>
      </c>
      <c r="E13" s="10"/>
      <c r="F13" s="10">
        <f>C13*E13</f>
        <v>0</v>
      </c>
      <c r="G13" s="9"/>
    </row>
    <row r="14" spans="1:7" ht="21.6" customHeight="1" x14ac:dyDescent="0.45">
      <c r="A14" s="9" t="s">
        <v>233</v>
      </c>
      <c r="B14" s="9" t="s">
        <v>253</v>
      </c>
      <c r="C14" s="10">
        <v>41.8</v>
      </c>
      <c r="D14" s="9" t="s">
        <v>89</v>
      </c>
      <c r="E14" s="10"/>
      <c r="F14" s="10">
        <f>C14*E14</f>
        <v>0</v>
      </c>
      <c r="G14" s="9"/>
    </row>
    <row r="15" spans="1:7" ht="21.6" customHeight="1" x14ac:dyDescent="0.45">
      <c r="A15" s="9" t="s">
        <v>254</v>
      </c>
      <c r="B15" s="9" t="s">
        <v>255</v>
      </c>
      <c r="C15" s="10"/>
      <c r="D15" s="9"/>
      <c r="E15" s="10"/>
      <c r="F15" s="10"/>
      <c r="G15" s="9"/>
    </row>
    <row r="16" spans="1:7" ht="21.6" customHeight="1" x14ac:dyDescent="0.45">
      <c r="A16" s="9" t="s">
        <v>256</v>
      </c>
      <c r="B16" s="9" t="s">
        <v>257</v>
      </c>
      <c r="C16" s="10">
        <v>1</v>
      </c>
      <c r="D16" s="9"/>
      <c r="E16" s="10"/>
      <c r="F16" s="10"/>
      <c r="G16" s="9"/>
    </row>
    <row r="17" spans="1:7" ht="21.6" customHeight="1" x14ac:dyDescent="0.45">
      <c r="A17" s="9" t="s">
        <v>9</v>
      </c>
      <c r="B17" s="9"/>
      <c r="C17" s="10"/>
      <c r="D17" s="9"/>
      <c r="E17" s="10"/>
      <c r="F17" s="10">
        <f>SUM(F4:F16)</f>
        <v>0</v>
      </c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CDAA-763B-43E8-8B1A-05D63DEACB2C}">
  <sheetPr codeName="Sheet48"/>
  <dimension ref="A1:G19"/>
  <sheetViews>
    <sheetView zoomScale="140" zoomScaleNormal="140" workbookViewId="0">
      <selection activeCell="A5" sqref="A5:G1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240</v>
      </c>
      <c r="G1" s="3">
        <v>46</v>
      </c>
    </row>
    <row r="2" spans="1:7" ht="10.199999999999999" customHeight="1" x14ac:dyDescent="0.45">
      <c r="A2" s="4" t="s">
        <v>63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237</v>
      </c>
      <c r="B4" s="9" t="s">
        <v>258</v>
      </c>
      <c r="C4" s="10">
        <v>502</v>
      </c>
      <c r="D4" s="9" t="s">
        <v>239</v>
      </c>
      <c r="E4" s="10"/>
      <c r="F4" s="10">
        <f>C4*E4</f>
        <v>0</v>
      </c>
      <c r="G4" s="9"/>
    </row>
    <row r="5" spans="1:7" ht="21.6" customHeight="1" x14ac:dyDescent="0.45">
      <c r="A5" s="9" t="s">
        <v>237</v>
      </c>
      <c r="B5" s="9" t="s">
        <v>259</v>
      </c>
      <c r="C5" s="10">
        <v>86</v>
      </c>
      <c r="D5" s="9" t="s">
        <v>246</v>
      </c>
      <c r="E5" s="10"/>
      <c r="F5" s="10">
        <f>C5*E5</f>
        <v>0</v>
      </c>
      <c r="G5" s="9"/>
    </row>
    <row r="6" spans="1:7" ht="21.6" customHeight="1" x14ac:dyDescent="0.45">
      <c r="A6" s="9" t="s">
        <v>237</v>
      </c>
      <c r="B6" s="9" t="s">
        <v>260</v>
      </c>
      <c r="C6" s="10">
        <v>1244</v>
      </c>
      <c r="D6" s="9" t="s">
        <v>89</v>
      </c>
      <c r="E6" s="10"/>
      <c r="F6" s="10">
        <f>C6*E6</f>
        <v>0</v>
      </c>
      <c r="G6" s="9"/>
    </row>
    <row r="7" spans="1:7" ht="21.6" customHeight="1" x14ac:dyDescent="0.45">
      <c r="A7" s="9" t="s">
        <v>237</v>
      </c>
      <c r="B7" s="9" t="s">
        <v>261</v>
      </c>
      <c r="C7" s="10">
        <v>30.6</v>
      </c>
      <c r="D7" s="9" t="s">
        <v>89</v>
      </c>
      <c r="E7" s="10"/>
      <c r="F7" s="10">
        <f>C7*E7</f>
        <v>0</v>
      </c>
      <c r="G7" s="9"/>
    </row>
    <row r="8" spans="1:7" ht="21.6" customHeight="1" x14ac:dyDescent="0.45">
      <c r="A8" s="9" t="s">
        <v>237</v>
      </c>
      <c r="B8" s="9" t="s">
        <v>262</v>
      </c>
      <c r="C8" s="10">
        <v>16.899999999999999</v>
      </c>
      <c r="D8" s="9" t="s">
        <v>239</v>
      </c>
      <c r="E8" s="10"/>
      <c r="F8" s="10">
        <f>C8*E8</f>
        <v>0</v>
      </c>
      <c r="G8" s="9"/>
    </row>
    <row r="9" spans="1:7" ht="21.6" customHeight="1" x14ac:dyDescent="0.45">
      <c r="A9" s="9" t="s">
        <v>237</v>
      </c>
      <c r="B9" s="9" t="s">
        <v>263</v>
      </c>
      <c r="C9" s="10">
        <v>0.3</v>
      </c>
      <c r="D9" s="9" t="s">
        <v>239</v>
      </c>
      <c r="E9" s="10"/>
      <c r="F9" s="10">
        <f>C9*E9</f>
        <v>0</v>
      </c>
      <c r="G9" s="9"/>
    </row>
    <row r="10" spans="1:7" ht="21.6" customHeight="1" x14ac:dyDescent="0.45">
      <c r="A10" s="9" t="s">
        <v>237</v>
      </c>
      <c r="B10" s="9" t="s">
        <v>264</v>
      </c>
      <c r="C10" s="10">
        <v>16.3</v>
      </c>
      <c r="D10" s="9" t="s">
        <v>239</v>
      </c>
      <c r="E10" s="10"/>
      <c r="F10" s="10">
        <f>C10*E10</f>
        <v>0</v>
      </c>
      <c r="G10" s="9"/>
    </row>
    <row r="11" spans="1:7" ht="21.6" customHeight="1" x14ac:dyDescent="0.45">
      <c r="A11" s="9" t="s">
        <v>237</v>
      </c>
      <c r="B11" s="9" t="s">
        <v>265</v>
      </c>
      <c r="C11" s="10">
        <v>2.9</v>
      </c>
      <c r="D11" s="9" t="s">
        <v>239</v>
      </c>
      <c r="E11" s="10"/>
      <c r="F11" s="10">
        <f>C11*E11</f>
        <v>0</v>
      </c>
      <c r="G11" s="9"/>
    </row>
    <row r="12" spans="1:7" ht="21.6" customHeight="1" x14ac:dyDescent="0.45">
      <c r="A12" s="9" t="s">
        <v>237</v>
      </c>
      <c r="B12" s="9" t="s">
        <v>266</v>
      </c>
      <c r="C12" s="10">
        <v>28.7</v>
      </c>
      <c r="D12" s="9" t="s">
        <v>239</v>
      </c>
      <c r="E12" s="10"/>
      <c r="F12" s="10">
        <f>C12*E12</f>
        <v>0</v>
      </c>
      <c r="G12" s="9"/>
    </row>
    <row r="13" spans="1:7" ht="21.6" customHeight="1" x14ac:dyDescent="0.45">
      <c r="A13" s="9" t="s">
        <v>237</v>
      </c>
      <c r="B13" s="9" t="s">
        <v>267</v>
      </c>
      <c r="C13" s="10">
        <v>17.7</v>
      </c>
      <c r="D13" s="9" t="s">
        <v>239</v>
      </c>
      <c r="E13" s="10"/>
      <c r="F13" s="10">
        <f>C13*E13</f>
        <v>0</v>
      </c>
      <c r="G13" s="9"/>
    </row>
    <row r="14" spans="1:7" ht="21.6" customHeight="1" x14ac:dyDescent="0.45">
      <c r="A14" s="9" t="s">
        <v>237</v>
      </c>
      <c r="B14" s="9" t="s">
        <v>268</v>
      </c>
      <c r="C14" s="10">
        <v>21</v>
      </c>
      <c r="D14" s="9" t="s">
        <v>269</v>
      </c>
      <c r="E14" s="10"/>
      <c r="F14" s="10">
        <f>C14*E14</f>
        <v>0</v>
      </c>
      <c r="G14" s="9"/>
    </row>
    <row r="15" spans="1:7" ht="21.6" customHeight="1" x14ac:dyDescent="0.45">
      <c r="A15" s="9" t="s">
        <v>270</v>
      </c>
      <c r="B15" s="9"/>
      <c r="C15" s="10">
        <v>0.4</v>
      </c>
      <c r="D15" s="9" t="s">
        <v>239</v>
      </c>
      <c r="E15" s="10"/>
      <c r="F15" s="10">
        <f>C15*E15</f>
        <v>0</v>
      </c>
      <c r="G15" s="9"/>
    </row>
    <row r="16" spans="1:7" ht="21.6" customHeight="1" x14ac:dyDescent="0.45">
      <c r="A16" s="9" t="s">
        <v>271</v>
      </c>
      <c r="B16" s="9" t="s">
        <v>272</v>
      </c>
      <c r="C16" s="10">
        <v>141</v>
      </c>
      <c r="D16" s="9" t="s">
        <v>239</v>
      </c>
      <c r="E16" s="10"/>
      <c r="F16" s="10">
        <f>C16*E16</f>
        <v>0</v>
      </c>
      <c r="G16" s="9"/>
    </row>
    <row r="17" spans="1:7" ht="21.6" customHeight="1" x14ac:dyDescent="0.45">
      <c r="A17" s="9" t="s">
        <v>271</v>
      </c>
      <c r="B17" s="9" t="s">
        <v>273</v>
      </c>
      <c r="C17" s="10">
        <v>0.2</v>
      </c>
      <c r="D17" s="9" t="s">
        <v>239</v>
      </c>
      <c r="E17" s="10"/>
      <c r="F17" s="10">
        <f>C17*E17</f>
        <v>0</v>
      </c>
      <c r="G17" s="9"/>
    </row>
    <row r="18" spans="1:7" ht="21.6" customHeight="1" x14ac:dyDescent="0.45">
      <c r="A18" s="9" t="s">
        <v>271</v>
      </c>
      <c r="B18" s="9" t="s">
        <v>274</v>
      </c>
      <c r="C18" s="10">
        <v>3.1</v>
      </c>
      <c r="D18" s="9" t="s">
        <v>239</v>
      </c>
      <c r="E18" s="10"/>
      <c r="F18" s="10">
        <f>C18*E18</f>
        <v>0</v>
      </c>
      <c r="G18" s="9"/>
    </row>
    <row r="19" spans="1:7" x14ac:dyDescent="0.45">
      <c r="A19" s="9"/>
      <c r="B19" s="9"/>
      <c r="C19" s="9"/>
      <c r="D19" s="9"/>
      <c r="E19" s="9"/>
      <c r="F19" s="9"/>
      <c r="G19" s="9"/>
    </row>
  </sheetData>
  <phoneticPr fontId="3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CD60-C258-4729-9878-BD0824DE6889}">
  <sheetPr codeName="Sheet49"/>
  <dimension ref="A1:G18"/>
  <sheetViews>
    <sheetView zoomScale="140" zoomScaleNormal="140" workbookViewId="0">
      <selection activeCell="A5" sqref="A5:G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240</v>
      </c>
      <c r="G1" s="3">
        <v>47</v>
      </c>
    </row>
    <row r="2" spans="1:7" ht="10.199999999999999" customHeight="1" x14ac:dyDescent="0.45">
      <c r="A2" s="4" t="s">
        <v>63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271</v>
      </c>
      <c r="B4" s="9" t="s">
        <v>275</v>
      </c>
      <c r="C4" s="10">
        <v>0.3</v>
      </c>
      <c r="D4" s="9" t="s">
        <v>239</v>
      </c>
      <c r="E4" s="10"/>
      <c r="F4" s="10">
        <f>C4*E4</f>
        <v>0</v>
      </c>
      <c r="G4" s="9"/>
    </row>
    <row r="5" spans="1:7" ht="21.6" customHeight="1" x14ac:dyDescent="0.45">
      <c r="A5" s="9" t="s">
        <v>9</v>
      </c>
      <c r="B5" s="9"/>
      <c r="C5" s="10"/>
      <c r="D5" s="9"/>
      <c r="E5" s="10"/>
      <c r="F5" s="10">
        <f>SUM(F4:F4)</f>
        <v>0</v>
      </c>
      <c r="G5" s="9"/>
    </row>
    <row r="6" spans="1:7" ht="21.6" customHeight="1" x14ac:dyDescent="0.45">
      <c r="A6" s="9"/>
      <c r="B6" s="9"/>
      <c r="C6" s="9"/>
      <c r="D6" s="9"/>
      <c r="E6" s="9"/>
      <c r="F6" s="9"/>
      <c r="G6" s="9"/>
    </row>
    <row r="7" spans="1:7" ht="21.6" customHeight="1" x14ac:dyDescent="0.45">
      <c r="A7" s="9"/>
      <c r="B7" s="9"/>
      <c r="C7" s="9"/>
      <c r="D7" s="9"/>
      <c r="E7" s="9"/>
      <c r="F7" s="9"/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EADE-504E-46B5-AE84-586E12E237DD}">
  <sheetPr codeName="Sheet50"/>
  <dimension ref="A1:G18"/>
  <sheetViews>
    <sheetView zoomScale="140" zoomScaleNormal="140" workbookViewId="0">
      <selection activeCell="A5" sqref="A5:G14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48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80</v>
      </c>
      <c r="B4" s="9"/>
      <c r="C4" s="10">
        <v>1</v>
      </c>
      <c r="D4" s="9" t="s">
        <v>8</v>
      </c>
      <c r="E4" s="10"/>
      <c r="F4" s="10">
        <f>F10</f>
        <v>0</v>
      </c>
      <c r="G4" s="9" t="s">
        <v>81</v>
      </c>
    </row>
    <row r="5" spans="1:7" ht="21.6" customHeight="1" x14ac:dyDescent="0.45">
      <c r="A5" s="9" t="s">
        <v>277</v>
      </c>
      <c r="B5" s="9" t="s">
        <v>278</v>
      </c>
      <c r="C5" s="10">
        <v>1979</v>
      </c>
      <c r="D5" s="9" t="s">
        <v>86</v>
      </c>
      <c r="E5" s="10"/>
      <c r="F5" s="10">
        <f>C5*E5</f>
        <v>0</v>
      </c>
      <c r="G5" s="9"/>
    </row>
    <row r="6" spans="1:7" ht="21.6" customHeight="1" x14ac:dyDescent="0.45">
      <c r="A6" s="9" t="s">
        <v>277</v>
      </c>
      <c r="B6" s="9" t="s">
        <v>279</v>
      </c>
      <c r="C6" s="10">
        <v>55.1</v>
      </c>
      <c r="D6" s="9" t="s">
        <v>86</v>
      </c>
      <c r="E6" s="10"/>
      <c r="F6" s="10">
        <f>C6*E6</f>
        <v>0</v>
      </c>
      <c r="G6" s="9"/>
    </row>
    <row r="7" spans="1:7" ht="21.6" customHeight="1" x14ac:dyDescent="0.45">
      <c r="A7" s="9" t="s">
        <v>280</v>
      </c>
      <c r="B7" s="9" t="s">
        <v>281</v>
      </c>
      <c r="C7" s="10">
        <v>137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282</v>
      </c>
      <c r="B8" s="9" t="s">
        <v>283</v>
      </c>
      <c r="C8" s="10">
        <v>11.2</v>
      </c>
      <c r="D8" s="9" t="s">
        <v>86</v>
      </c>
      <c r="E8" s="10"/>
      <c r="F8" s="10">
        <f>C8*E8</f>
        <v>0</v>
      </c>
      <c r="G8" s="9"/>
    </row>
    <row r="9" spans="1:7" ht="21.6" customHeight="1" x14ac:dyDescent="0.45">
      <c r="A9" s="9" t="s">
        <v>284</v>
      </c>
      <c r="B9" s="9" t="s">
        <v>285</v>
      </c>
      <c r="C9" s="10">
        <v>127</v>
      </c>
      <c r="D9" s="9" t="s">
        <v>86</v>
      </c>
      <c r="E9" s="10"/>
      <c r="F9" s="10">
        <f>C9*E9</f>
        <v>0</v>
      </c>
      <c r="G9" s="9"/>
    </row>
    <row r="10" spans="1:7" ht="21.6" customHeight="1" x14ac:dyDescent="0.45">
      <c r="A10" s="9" t="s">
        <v>9</v>
      </c>
      <c r="B10" s="9"/>
      <c r="C10" s="10"/>
      <c r="D10" s="9"/>
      <c r="E10" s="10"/>
      <c r="F10" s="10">
        <f>SUM(F5:F9)</f>
        <v>0</v>
      </c>
      <c r="G10" s="9"/>
    </row>
    <row r="11" spans="1:7" ht="21.6" customHeight="1" x14ac:dyDescent="0.45">
      <c r="A11" s="9" t="s">
        <v>82</v>
      </c>
      <c r="B11" s="9"/>
      <c r="C11" s="10">
        <v>1</v>
      </c>
      <c r="D11" s="9" t="s">
        <v>8</v>
      </c>
      <c r="E11" s="10"/>
      <c r="F11" s="10">
        <f>F13</f>
        <v>0</v>
      </c>
      <c r="G11" s="9" t="s">
        <v>83</v>
      </c>
    </row>
    <row r="12" spans="1:7" ht="21.6" customHeight="1" x14ac:dyDescent="0.45">
      <c r="A12" s="9" t="s">
        <v>286</v>
      </c>
      <c r="B12" s="9" t="s">
        <v>281</v>
      </c>
      <c r="C12" s="10">
        <v>2045</v>
      </c>
      <c r="D12" s="9" t="s">
        <v>86</v>
      </c>
      <c r="E12" s="10"/>
      <c r="F12" s="10">
        <f>C12*E12</f>
        <v>0</v>
      </c>
      <c r="G12" s="9"/>
    </row>
    <row r="13" spans="1:7" ht="21.6" customHeight="1" x14ac:dyDescent="0.45">
      <c r="A13" s="9" t="s">
        <v>9</v>
      </c>
      <c r="B13" s="9"/>
      <c r="C13" s="10"/>
      <c r="D13" s="9"/>
      <c r="E13" s="10"/>
      <c r="F13" s="10">
        <f>SUM(F12:F12)</f>
        <v>0</v>
      </c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CAAB-E090-49B3-9D4E-277E3802123C}">
  <sheetPr codeName="Sheet51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49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96</v>
      </c>
      <c r="B4" s="9" t="s">
        <v>287</v>
      </c>
      <c r="C4" s="10">
        <v>1</v>
      </c>
      <c r="D4" s="9" t="s">
        <v>8</v>
      </c>
      <c r="E4" s="10"/>
      <c r="F4" s="10">
        <f t="shared" ref="F4:F10" si="0">C4*E4</f>
        <v>0</v>
      </c>
      <c r="G4" s="9" t="s">
        <v>98</v>
      </c>
    </row>
    <row r="5" spans="1:7" ht="21.6" customHeight="1" x14ac:dyDescent="0.45">
      <c r="A5" s="9" t="s">
        <v>288</v>
      </c>
      <c r="B5" s="9" t="s">
        <v>289</v>
      </c>
      <c r="C5" s="10">
        <v>128</v>
      </c>
      <c r="D5" s="9" t="s">
        <v>137</v>
      </c>
      <c r="E5" s="10"/>
      <c r="F5" s="10">
        <f>C5*E5</f>
        <v>0</v>
      </c>
      <c r="G5" s="9"/>
    </row>
    <row r="6" spans="1:7" ht="21.6" customHeight="1" x14ac:dyDescent="0.45">
      <c r="A6" s="9" t="s">
        <v>290</v>
      </c>
      <c r="B6" s="9" t="s">
        <v>291</v>
      </c>
      <c r="C6" s="10">
        <v>128</v>
      </c>
      <c r="D6" s="9" t="s">
        <v>137</v>
      </c>
      <c r="E6" s="10"/>
      <c r="F6" s="10">
        <f>C6*E6</f>
        <v>0</v>
      </c>
      <c r="G6" s="9"/>
    </row>
    <row r="7" spans="1:7" ht="21.6" customHeight="1" x14ac:dyDescent="0.45">
      <c r="A7" s="9" t="s">
        <v>292</v>
      </c>
      <c r="B7" s="9"/>
      <c r="C7" s="10">
        <v>128</v>
      </c>
      <c r="D7" s="9" t="s">
        <v>151</v>
      </c>
      <c r="E7" s="10"/>
      <c r="F7" s="10">
        <f>C7*E7</f>
        <v>0</v>
      </c>
      <c r="G7" s="9"/>
    </row>
    <row r="8" spans="1:7" ht="21.6" customHeight="1" x14ac:dyDescent="0.45">
      <c r="A8" s="9" t="s">
        <v>293</v>
      </c>
      <c r="B8" s="9" t="s">
        <v>294</v>
      </c>
      <c r="C8" s="10">
        <v>128</v>
      </c>
      <c r="D8" s="9" t="s">
        <v>151</v>
      </c>
      <c r="E8" s="10"/>
      <c r="F8" s="10">
        <f>C8*E8</f>
        <v>0</v>
      </c>
      <c r="G8" s="9"/>
    </row>
    <row r="9" spans="1:7" ht="21.6" customHeight="1" x14ac:dyDescent="0.45">
      <c r="A9" s="9" t="s">
        <v>295</v>
      </c>
      <c r="B9" s="9" t="s">
        <v>296</v>
      </c>
      <c r="C9" s="10">
        <v>128</v>
      </c>
      <c r="D9" s="9" t="s">
        <v>151</v>
      </c>
      <c r="E9" s="10"/>
      <c r="F9" s="10">
        <f>C9*E9</f>
        <v>0</v>
      </c>
      <c r="G9" s="9"/>
    </row>
    <row r="10" spans="1:7" ht="21.6" customHeight="1" x14ac:dyDescent="0.45">
      <c r="A10" s="9" t="s">
        <v>297</v>
      </c>
      <c r="B10" s="9"/>
      <c r="C10" s="10">
        <v>1</v>
      </c>
      <c r="D10" s="9" t="s">
        <v>8</v>
      </c>
      <c r="E10" s="10"/>
      <c r="F10" s="10">
        <f t="shared" si="0"/>
        <v>0</v>
      </c>
      <c r="G10" s="9"/>
    </row>
    <row r="11" spans="1:7" ht="21.6" customHeight="1" x14ac:dyDescent="0.45">
      <c r="A11" s="9" t="s">
        <v>298</v>
      </c>
      <c r="B11" s="9"/>
      <c r="C11" s="10">
        <v>1</v>
      </c>
      <c r="D11" s="9" t="s">
        <v>8</v>
      </c>
      <c r="E11" s="10"/>
      <c r="F11" s="10">
        <f>F12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1F9D-5D04-491E-A8F2-53AD35405CCC}">
  <sheetPr codeName="Sheet52"/>
  <dimension ref="A1:G18"/>
  <sheetViews>
    <sheetView zoomScale="140" zoomScaleNormal="140" workbookViewId="0">
      <selection activeCell="A5" sqref="A5:G11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50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99</v>
      </c>
      <c r="B4" s="9"/>
      <c r="C4" s="10">
        <v>1</v>
      </c>
      <c r="D4" s="9" t="s">
        <v>8</v>
      </c>
      <c r="E4" s="10"/>
      <c r="F4" s="10">
        <f>F10</f>
        <v>0</v>
      </c>
      <c r="G4" s="9" t="s">
        <v>100</v>
      </c>
    </row>
    <row r="5" spans="1:7" ht="21.6" customHeight="1" x14ac:dyDescent="0.45">
      <c r="A5" s="9" t="s">
        <v>299</v>
      </c>
      <c r="B5" s="9" t="s">
        <v>92</v>
      </c>
      <c r="C5" s="10">
        <v>16</v>
      </c>
      <c r="D5" s="9" t="s">
        <v>137</v>
      </c>
      <c r="E5" s="10"/>
      <c r="F5" s="10">
        <f>C5*E5</f>
        <v>0</v>
      </c>
      <c r="G5" s="9"/>
    </row>
    <row r="6" spans="1:7" ht="21.6" customHeight="1" x14ac:dyDescent="0.45">
      <c r="A6" s="9" t="s">
        <v>300</v>
      </c>
      <c r="B6" s="9" t="s">
        <v>301</v>
      </c>
      <c r="C6" s="10">
        <v>210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302</v>
      </c>
      <c r="B7" s="9" t="s">
        <v>92</v>
      </c>
      <c r="C7" s="10">
        <v>76.8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303</v>
      </c>
      <c r="B8" s="9" t="s">
        <v>92</v>
      </c>
      <c r="C8" s="10">
        <v>64</v>
      </c>
      <c r="D8" s="9" t="s">
        <v>137</v>
      </c>
      <c r="E8" s="10"/>
      <c r="F8" s="10">
        <f>C8*E8</f>
        <v>0</v>
      </c>
      <c r="G8" s="9"/>
    </row>
    <row r="9" spans="1:7" ht="21.6" customHeight="1" x14ac:dyDescent="0.45">
      <c r="A9" s="9" t="s">
        <v>304</v>
      </c>
      <c r="B9" s="9" t="s">
        <v>305</v>
      </c>
      <c r="C9" s="10">
        <v>125</v>
      </c>
      <c r="D9" s="9" t="s">
        <v>86</v>
      </c>
      <c r="E9" s="10"/>
      <c r="F9" s="10">
        <f>C9*E9</f>
        <v>0</v>
      </c>
      <c r="G9" s="9"/>
    </row>
    <row r="10" spans="1:7" ht="21.6" customHeight="1" x14ac:dyDescent="0.45">
      <c r="A10" s="9" t="s">
        <v>9</v>
      </c>
      <c r="B10" s="9"/>
      <c r="C10" s="10"/>
      <c r="D10" s="9"/>
      <c r="E10" s="10"/>
      <c r="F10" s="10">
        <f>SUM(F5:F9)</f>
        <v>0</v>
      </c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8688-8FE0-443A-9AF7-4233E98FDB45}">
  <sheetPr codeName="Sheet53"/>
  <dimension ref="A1:G18"/>
  <sheetViews>
    <sheetView zoomScale="140" zoomScaleNormal="140" workbookViewId="0">
      <selection activeCell="A5" sqref="A5:G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51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103</v>
      </c>
      <c r="B4" s="9" t="s">
        <v>104</v>
      </c>
      <c r="C4" s="10">
        <v>1</v>
      </c>
      <c r="D4" s="9" t="s">
        <v>8</v>
      </c>
      <c r="E4" s="10"/>
      <c r="F4" s="10">
        <f>F7</f>
        <v>0</v>
      </c>
      <c r="G4" s="9" t="s">
        <v>105</v>
      </c>
    </row>
    <row r="5" spans="1:7" ht="21.6" customHeight="1" x14ac:dyDescent="0.45">
      <c r="A5" s="9" t="s">
        <v>123</v>
      </c>
      <c r="B5" s="9" t="s">
        <v>306</v>
      </c>
      <c r="C5" s="10">
        <v>16</v>
      </c>
      <c r="D5" s="9" t="s">
        <v>89</v>
      </c>
      <c r="E5" s="10"/>
      <c r="F5" s="10">
        <f>C5*E5</f>
        <v>0</v>
      </c>
      <c r="G5" s="9"/>
    </row>
    <row r="6" spans="1:7" ht="21.6" customHeight="1" x14ac:dyDescent="0.45">
      <c r="A6" s="9" t="s">
        <v>125</v>
      </c>
      <c r="B6" s="9" t="s">
        <v>126</v>
      </c>
      <c r="C6" s="10">
        <v>16</v>
      </c>
      <c r="D6" s="9" t="s">
        <v>89</v>
      </c>
      <c r="E6" s="10"/>
      <c r="F6" s="10">
        <f>C6*E6</f>
        <v>0</v>
      </c>
      <c r="G6" s="9"/>
    </row>
    <row r="7" spans="1:7" ht="21.6" customHeight="1" x14ac:dyDescent="0.45">
      <c r="A7" s="9" t="s">
        <v>9</v>
      </c>
      <c r="B7" s="9"/>
      <c r="C7" s="10"/>
      <c r="D7" s="9"/>
      <c r="E7" s="10"/>
      <c r="F7" s="10">
        <f>SUM(F5:F6)</f>
        <v>0</v>
      </c>
      <c r="G7" s="9"/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5A30-B60F-4447-AE5A-0A61C7F20183}">
  <sheetPr codeName="Sheet54"/>
  <dimension ref="A1:G18"/>
  <sheetViews>
    <sheetView zoomScale="140" zoomScaleNormal="140" workbookViewId="0">
      <selection activeCell="A5" sqref="A5:G1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52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106</v>
      </c>
      <c r="B4" s="9" t="s">
        <v>107</v>
      </c>
      <c r="C4" s="10">
        <v>1</v>
      </c>
      <c r="D4" s="9" t="s">
        <v>8</v>
      </c>
      <c r="E4" s="10"/>
      <c r="F4" s="10">
        <f>F6</f>
        <v>0</v>
      </c>
      <c r="G4" s="9" t="s">
        <v>108</v>
      </c>
    </row>
    <row r="5" spans="1:7" ht="21.6" customHeight="1" x14ac:dyDescent="0.45">
      <c r="A5" s="9" t="s">
        <v>307</v>
      </c>
      <c r="B5" s="9" t="s">
        <v>308</v>
      </c>
      <c r="C5" s="10">
        <v>43.4</v>
      </c>
      <c r="D5" s="9" t="s">
        <v>239</v>
      </c>
      <c r="E5" s="10"/>
      <c r="F5" s="10">
        <f>C5*E5</f>
        <v>0</v>
      </c>
      <c r="G5" s="9"/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SUM(F5:F5)</f>
        <v>0</v>
      </c>
      <c r="G6" s="9"/>
    </row>
    <row r="7" spans="1:7" ht="21.6" customHeight="1" x14ac:dyDescent="0.45">
      <c r="A7" s="9" t="s">
        <v>109</v>
      </c>
      <c r="B7" s="9"/>
      <c r="C7" s="10">
        <v>1</v>
      </c>
      <c r="D7" s="9" t="s">
        <v>8</v>
      </c>
      <c r="E7" s="10"/>
      <c r="F7" s="10">
        <f>F15</f>
        <v>0</v>
      </c>
      <c r="G7" s="9" t="s">
        <v>110</v>
      </c>
    </row>
    <row r="8" spans="1:7" ht="21.6" customHeight="1" x14ac:dyDescent="0.45">
      <c r="A8" s="9" t="s">
        <v>309</v>
      </c>
      <c r="B8" s="9"/>
      <c r="C8" s="10">
        <v>43.4</v>
      </c>
      <c r="D8" s="9" t="s">
        <v>239</v>
      </c>
      <c r="E8" s="10"/>
      <c r="F8" s="10">
        <f>C8*E8</f>
        <v>0</v>
      </c>
      <c r="G8" s="9"/>
    </row>
    <row r="9" spans="1:7" ht="21.6" customHeight="1" x14ac:dyDescent="0.45">
      <c r="A9" s="9" t="s">
        <v>310</v>
      </c>
      <c r="B9" s="9"/>
      <c r="C9" s="10">
        <v>43.4</v>
      </c>
      <c r="D9" s="9" t="s">
        <v>239</v>
      </c>
      <c r="E9" s="10"/>
      <c r="F9" s="10">
        <f>C9*E9</f>
        <v>0</v>
      </c>
      <c r="G9" s="9"/>
    </row>
    <row r="10" spans="1:7" ht="21.6" customHeight="1" x14ac:dyDescent="0.45">
      <c r="A10" s="9" t="s">
        <v>311</v>
      </c>
      <c r="B10" s="9"/>
      <c r="C10" s="10">
        <v>43.4</v>
      </c>
      <c r="D10" s="9" t="s">
        <v>239</v>
      </c>
      <c r="E10" s="10"/>
      <c r="F10" s="10">
        <f>C10*E10</f>
        <v>0</v>
      </c>
      <c r="G10" s="9"/>
    </row>
    <row r="11" spans="1:7" ht="21.6" customHeight="1" x14ac:dyDescent="0.45">
      <c r="A11" s="9" t="s">
        <v>312</v>
      </c>
      <c r="B11" s="9"/>
      <c r="C11" s="10">
        <v>43.4</v>
      </c>
      <c r="D11" s="9" t="s">
        <v>239</v>
      </c>
      <c r="E11" s="10"/>
      <c r="F11" s="10">
        <f>C11*E11</f>
        <v>0</v>
      </c>
      <c r="G11" s="9"/>
    </row>
    <row r="12" spans="1:7" ht="21.6" customHeight="1" x14ac:dyDescent="0.45">
      <c r="A12" s="9" t="s">
        <v>313</v>
      </c>
      <c r="B12" s="9" t="s">
        <v>314</v>
      </c>
      <c r="C12" s="10">
        <v>43.4</v>
      </c>
      <c r="D12" s="9" t="s">
        <v>239</v>
      </c>
      <c r="E12" s="10"/>
      <c r="F12" s="10">
        <f>C12*E12</f>
        <v>0</v>
      </c>
      <c r="G12" s="9"/>
    </row>
    <row r="13" spans="1:7" ht="21.6" customHeight="1" x14ac:dyDescent="0.45">
      <c r="A13" s="9" t="s">
        <v>315</v>
      </c>
      <c r="B13" s="9" t="s">
        <v>314</v>
      </c>
      <c r="C13" s="10">
        <v>43.4</v>
      </c>
      <c r="D13" s="9" t="s">
        <v>239</v>
      </c>
      <c r="E13" s="10"/>
      <c r="F13" s="10">
        <f>C13*E13</f>
        <v>0</v>
      </c>
      <c r="G13" s="9"/>
    </row>
    <row r="14" spans="1:7" ht="21.6" customHeight="1" x14ac:dyDescent="0.45">
      <c r="A14" s="9" t="s">
        <v>316</v>
      </c>
      <c r="B14" s="9">
        <v>0.1</v>
      </c>
      <c r="C14" s="10">
        <v>4.3</v>
      </c>
      <c r="D14" s="9" t="s">
        <v>239</v>
      </c>
      <c r="E14" s="10"/>
      <c r="F14" s="10">
        <f>C14*E14</f>
        <v>0</v>
      </c>
      <c r="G14" s="9"/>
    </row>
    <row r="15" spans="1:7" ht="21.6" customHeight="1" x14ac:dyDescent="0.45">
      <c r="A15" s="9" t="s">
        <v>9</v>
      </c>
      <c r="B15" s="9"/>
      <c r="C15" s="10"/>
      <c r="D15" s="9"/>
      <c r="E15" s="10"/>
      <c r="F15" s="10">
        <f>SUM(F8:F14)</f>
        <v>0</v>
      </c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9F11-C821-4815-8A8D-02B4DFE795E1}">
  <sheetPr codeName="Sheet55"/>
  <dimension ref="A1:G18"/>
  <sheetViews>
    <sheetView zoomScale="140" zoomScaleNormal="140" workbookViewId="0">
      <selection activeCell="A5" sqref="A5:G15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53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111</v>
      </c>
      <c r="B4" s="9" t="s">
        <v>107</v>
      </c>
      <c r="C4" s="10">
        <v>1</v>
      </c>
      <c r="D4" s="9" t="s">
        <v>8</v>
      </c>
      <c r="E4" s="10"/>
      <c r="F4" s="10">
        <f>F8</f>
        <v>0</v>
      </c>
      <c r="G4" s="9" t="s">
        <v>112</v>
      </c>
    </row>
    <row r="5" spans="1:7" ht="21.6" customHeight="1" x14ac:dyDescent="0.45">
      <c r="A5" s="9" t="s">
        <v>317</v>
      </c>
      <c r="B5" s="9" t="s">
        <v>318</v>
      </c>
      <c r="C5" s="10">
        <v>3.6</v>
      </c>
      <c r="D5" s="9" t="s">
        <v>239</v>
      </c>
      <c r="E5" s="10"/>
      <c r="F5" s="10">
        <f>C5*E5</f>
        <v>0</v>
      </c>
      <c r="G5" s="9"/>
    </row>
    <row r="6" spans="1:7" ht="21.6" customHeight="1" x14ac:dyDescent="0.45">
      <c r="A6" s="9" t="s">
        <v>317</v>
      </c>
      <c r="B6" s="9" t="s">
        <v>319</v>
      </c>
      <c r="C6" s="10">
        <v>1.3</v>
      </c>
      <c r="D6" s="9" t="s">
        <v>239</v>
      </c>
      <c r="E6" s="10"/>
      <c r="F6" s="10">
        <f>C6*E6</f>
        <v>0</v>
      </c>
      <c r="G6" s="9"/>
    </row>
    <row r="7" spans="1:7" ht="21.6" customHeight="1" x14ac:dyDescent="0.45">
      <c r="A7" s="9" t="s">
        <v>317</v>
      </c>
      <c r="B7" s="9" t="s">
        <v>320</v>
      </c>
      <c r="C7" s="10">
        <v>3</v>
      </c>
      <c r="D7" s="9" t="s">
        <v>321</v>
      </c>
      <c r="E7" s="10"/>
      <c r="F7" s="10">
        <f>C7*E7</f>
        <v>0</v>
      </c>
      <c r="G7" s="9"/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SUM(F5:F7)</f>
        <v>0</v>
      </c>
      <c r="G8" s="9"/>
    </row>
    <row r="9" spans="1:7" ht="21.6" customHeight="1" x14ac:dyDescent="0.45">
      <c r="A9" s="9" t="s">
        <v>113</v>
      </c>
      <c r="B9" s="9" t="s">
        <v>322</v>
      </c>
      <c r="C9" s="10">
        <v>1</v>
      </c>
      <c r="D9" s="9" t="s">
        <v>8</v>
      </c>
      <c r="E9" s="10"/>
      <c r="F9" s="10">
        <f>C9*E9</f>
        <v>0</v>
      </c>
      <c r="G9" s="9" t="s">
        <v>115</v>
      </c>
    </row>
    <row r="10" spans="1:7" ht="21.6" customHeight="1" x14ac:dyDescent="0.45">
      <c r="A10" s="9" t="s">
        <v>323</v>
      </c>
      <c r="B10" s="9"/>
      <c r="C10" s="10">
        <v>304</v>
      </c>
      <c r="D10" s="9" t="s">
        <v>132</v>
      </c>
      <c r="E10" s="10"/>
      <c r="F10" s="10">
        <f>C10*E10</f>
        <v>0</v>
      </c>
      <c r="G10" s="9"/>
    </row>
    <row r="11" spans="1:7" ht="21.6" customHeight="1" x14ac:dyDescent="0.45">
      <c r="A11" s="9" t="s">
        <v>324</v>
      </c>
      <c r="B11" s="9"/>
      <c r="C11" s="10">
        <v>3</v>
      </c>
      <c r="D11" s="9" t="s">
        <v>325</v>
      </c>
      <c r="E11" s="10"/>
      <c r="F11" s="10">
        <f>C11*E11</f>
        <v>0</v>
      </c>
      <c r="G11" s="9"/>
    </row>
    <row r="12" spans="1:7" ht="21.6" customHeight="1" x14ac:dyDescent="0.45">
      <c r="A12" s="9" t="s">
        <v>326</v>
      </c>
      <c r="B12" s="9"/>
      <c r="C12" s="10">
        <v>1</v>
      </c>
      <c r="D12" s="9" t="s">
        <v>8</v>
      </c>
      <c r="E12" s="10"/>
      <c r="F12" s="10">
        <f>C12*E12</f>
        <v>0</v>
      </c>
      <c r="G12" s="9"/>
    </row>
    <row r="13" spans="1:7" ht="21.6" customHeight="1" x14ac:dyDescent="0.45">
      <c r="A13" s="9" t="s">
        <v>327</v>
      </c>
      <c r="B13" s="9"/>
      <c r="C13" s="10">
        <v>1</v>
      </c>
      <c r="D13" s="9" t="s">
        <v>8</v>
      </c>
      <c r="E13" s="10"/>
      <c r="F13" s="10">
        <f>F14</f>
        <v>0</v>
      </c>
      <c r="G13" s="9"/>
    </row>
    <row r="14" spans="1:7" ht="21.6" customHeight="1" x14ac:dyDescent="0.45">
      <c r="A14" s="9" t="s">
        <v>9</v>
      </c>
      <c r="B14" s="9"/>
      <c r="C14" s="10"/>
      <c r="D14" s="9"/>
      <c r="E14" s="10"/>
      <c r="F14" s="10">
        <v>0</v>
      </c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3C76-44F2-4190-99A7-9932D9148187}">
  <sheetPr codeName="Sheet56"/>
  <dimension ref="A1:G18"/>
  <sheetViews>
    <sheetView zoomScale="140" zoomScaleNormal="140" workbookViewId="0">
      <selection activeCell="A5" sqref="A5:G12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54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113</v>
      </c>
      <c r="B4" s="9" t="s">
        <v>116</v>
      </c>
      <c r="C4" s="10">
        <v>1</v>
      </c>
      <c r="D4" s="9" t="s">
        <v>8</v>
      </c>
      <c r="E4" s="10"/>
      <c r="F4" s="10">
        <f t="shared" ref="F4:F8" si="0">C4*E4</f>
        <v>0</v>
      </c>
      <c r="G4" s="9" t="s">
        <v>117</v>
      </c>
    </row>
    <row r="5" spans="1:7" ht="21.6" customHeight="1" x14ac:dyDescent="0.45">
      <c r="A5" s="9" t="s">
        <v>328</v>
      </c>
      <c r="B5" s="9"/>
      <c r="C5" s="10">
        <v>570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329</v>
      </c>
      <c r="B6" s="9" t="s">
        <v>330</v>
      </c>
      <c r="C6" s="10">
        <v>1</v>
      </c>
      <c r="D6" s="9" t="s">
        <v>8</v>
      </c>
      <c r="E6" s="10"/>
      <c r="F6" s="10">
        <f t="shared" si="0"/>
        <v>0</v>
      </c>
      <c r="G6" s="9"/>
    </row>
    <row r="7" spans="1:7" ht="21.6" customHeight="1" x14ac:dyDescent="0.45">
      <c r="A7" s="9" t="s">
        <v>329</v>
      </c>
      <c r="B7" s="9" t="s">
        <v>331</v>
      </c>
      <c r="C7" s="10">
        <v>1</v>
      </c>
      <c r="D7" s="9" t="s">
        <v>8</v>
      </c>
      <c r="E7" s="10"/>
      <c r="F7" s="10">
        <f t="shared" si="0"/>
        <v>0</v>
      </c>
      <c r="G7" s="9"/>
    </row>
    <row r="8" spans="1:7" ht="21.6" customHeight="1" x14ac:dyDescent="0.45">
      <c r="A8" s="9" t="s">
        <v>327</v>
      </c>
      <c r="B8" s="9"/>
      <c r="C8" s="10">
        <v>1</v>
      </c>
      <c r="D8" s="9" t="s">
        <v>8</v>
      </c>
      <c r="E8" s="10"/>
      <c r="F8" s="10">
        <f t="shared" si="0"/>
        <v>0</v>
      </c>
      <c r="G8" s="9"/>
    </row>
    <row r="9" spans="1:7" ht="21.6" customHeight="1" x14ac:dyDescent="0.45">
      <c r="A9" s="9" t="s">
        <v>332</v>
      </c>
      <c r="B9" s="9"/>
      <c r="C9" s="10">
        <v>570</v>
      </c>
      <c r="D9" s="9" t="s">
        <v>132</v>
      </c>
      <c r="E9" s="10"/>
      <c r="F9" s="10">
        <f>C9*E9</f>
        <v>0</v>
      </c>
      <c r="G9" s="9"/>
    </row>
    <row r="10" spans="1:7" ht="21.6" customHeight="1" x14ac:dyDescent="0.45">
      <c r="A10" s="9" t="s">
        <v>327</v>
      </c>
      <c r="B10" s="9"/>
      <c r="C10" s="10">
        <v>1</v>
      </c>
      <c r="D10" s="9" t="s">
        <v>8</v>
      </c>
      <c r="E10" s="10"/>
      <c r="F10" s="10">
        <f>F11</f>
        <v>0</v>
      </c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v>0</v>
      </c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B38B-CCCF-426F-BDC9-EB9FF1B8D400}">
  <sheetPr codeName="Sheet57"/>
  <dimension ref="A1:G18"/>
  <sheetViews>
    <sheetView zoomScale="140" zoomScaleNormal="140" workbookViewId="0">
      <selection activeCell="A5" sqref="A5:G1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55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118</v>
      </c>
      <c r="B4" s="9"/>
      <c r="C4" s="10">
        <v>1</v>
      </c>
      <c r="D4" s="9" t="s">
        <v>8</v>
      </c>
      <c r="E4" s="10"/>
      <c r="F4" s="10">
        <f>F16</f>
        <v>0</v>
      </c>
      <c r="G4" s="9" t="s">
        <v>119</v>
      </c>
    </row>
    <row r="5" spans="1:7" ht="21.6" customHeight="1" x14ac:dyDescent="0.45">
      <c r="A5" s="9" t="s">
        <v>309</v>
      </c>
      <c r="B5" s="9" t="s">
        <v>318</v>
      </c>
      <c r="C5" s="10">
        <v>3.6</v>
      </c>
      <c r="D5" s="9" t="s">
        <v>239</v>
      </c>
      <c r="E5" s="10"/>
      <c r="F5" s="10">
        <f>C5*E5</f>
        <v>0</v>
      </c>
      <c r="G5" s="9"/>
    </row>
    <row r="6" spans="1:7" ht="21.6" customHeight="1" x14ac:dyDescent="0.45">
      <c r="A6" s="9" t="s">
        <v>309</v>
      </c>
      <c r="B6" s="9" t="s">
        <v>319</v>
      </c>
      <c r="C6" s="10">
        <v>1.3</v>
      </c>
      <c r="D6" s="9" t="s">
        <v>239</v>
      </c>
      <c r="E6" s="10"/>
      <c r="F6" s="10">
        <f>C6*E6</f>
        <v>0</v>
      </c>
      <c r="G6" s="9"/>
    </row>
    <row r="7" spans="1:7" ht="21.6" customHeight="1" x14ac:dyDescent="0.45">
      <c r="A7" s="9" t="s">
        <v>309</v>
      </c>
      <c r="B7" s="9" t="s">
        <v>320</v>
      </c>
      <c r="C7" s="10">
        <v>3</v>
      </c>
      <c r="D7" s="9" t="s">
        <v>321</v>
      </c>
      <c r="E7" s="10"/>
      <c r="F7" s="10">
        <f>C7*E7</f>
        <v>0</v>
      </c>
      <c r="G7" s="9"/>
    </row>
    <row r="8" spans="1:7" ht="21.6" customHeight="1" x14ac:dyDescent="0.45">
      <c r="A8" s="9" t="s">
        <v>333</v>
      </c>
      <c r="B8" s="9" t="s">
        <v>334</v>
      </c>
      <c r="C8" s="10">
        <v>12</v>
      </c>
      <c r="D8" s="9" t="s">
        <v>335</v>
      </c>
      <c r="E8" s="10"/>
      <c r="F8" s="10">
        <f>C8*E8</f>
        <v>0</v>
      </c>
      <c r="G8" s="9"/>
    </row>
    <row r="9" spans="1:7" ht="21.6" customHeight="1" x14ac:dyDescent="0.45">
      <c r="A9" s="9" t="s">
        <v>333</v>
      </c>
      <c r="B9" s="9" t="s">
        <v>336</v>
      </c>
      <c r="C9" s="10">
        <v>200</v>
      </c>
      <c r="D9" s="9" t="s">
        <v>151</v>
      </c>
      <c r="E9" s="10"/>
      <c r="F9" s="10">
        <f>C9*E9</f>
        <v>0</v>
      </c>
      <c r="G9" s="9"/>
    </row>
    <row r="10" spans="1:7" ht="21.6" customHeight="1" x14ac:dyDescent="0.45">
      <c r="A10" s="9" t="s">
        <v>310</v>
      </c>
      <c r="B10" s="9"/>
      <c r="C10" s="10">
        <v>5.3</v>
      </c>
      <c r="D10" s="9" t="s">
        <v>239</v>
      </c>
      <c r="E10" s="10"/>
      <c r="F10" s="10">
        <f>C10*E10</f>
        <v>0</v>
      </c>
      <c r="G10" s="9"/>
    </row>
    <row r="11" spans="1:7" ht="21.6" customHeight="1" x14ac:dyDescent="0.45">
      <c r="A11" s="9" t="s">
        <v>311</v>
      </c>
      <c r="B11" s="9"/>
      <c r="C11" s="10">
        <v>5.3</v>
      </c>
      <c r="D11" s="9" t="s">
        <v>239</v>
      </c>
      <c r="E11" s="10"/>
      <c r="F11" s="10">
        <f>C11*E11</f>
        <v>0</v>
      </c>
      <c r="G11" s="9"/>
    </row>
    <row r="12" spans="1:7" ht="21.6" customHeight="1" x14ac:dyDescent="0.45">
      <c r="A12" s="9" t="s">
        <v>312</v>
      </c>
      <c r="B12" s="9"/>
      <c r="C12" s="10">
        <v>5.3</v>
      </c>
      <c r="D12" s="9" t="s">
        <v>239</v>
      </c>
      <c r="E12" s="10"/>
      <c r="F12" s="10">
        <f>C12*E12</f>
        <v>0</v>
      </c>
      <c r="G12" s="9"/>
    </row>
    <row r="13" spans="1:7" ht="21.6" customHeight="1" x14ac:dyDescent="0.45">
      <c r="A13" s="9" t="s">
        <v>313</v>
      </c>
      <c r="B13" s="9"/>
      <c r="C13" s="10">
        <v>5.3</v>
      </c>
      <c r="D13" s="9" t="s">
        <v>239</v>
      </c>
      <c r="E13" s="10"/>
      <c r="F13" s="10">
        <f>C13*E13</f>
        <v>0</v>
      </c>
      <c r="G13" s="9"/>
    </row>
    <row r="14" spans="1:7" ht="21.6" customHeight="1" x14ac:dyDescent="0.45">
      <c r="A14" s="9" t="s">
        <v>315</v>
      </c>
      <c r="B14" s="9"/>
      <c r="C14" s="10">
        <v>5.2</v>
      </c>
      <c r="D14" s="9" t="s">
        <v>239</v>
      </c>
      <c r="E14" s="10"/>
      <c r="F14" s="10">
        <f>C14*E14</f>
        <v>0</v>
      </c>
      <c r="G14" s="9"/>
    </row>
    <row r="15" spans="1:7" ht="21.6" customHeight="1" x14ac:dyDescent="0.45">
      <c r="A15" s="9" t="s">
        <v>316</v>
      </c>
      <c r="B15" s="9">
        <v>0.05</v>
      </c>
      <c r="C15" s="10">
        <v>1.3</v>
      </c>
      <c r="D15" s="9" t="s">
        <v>239</v>
      </c>
      <c r="E15" s="10"/>
      <c r="F15" s="10">
        <f>C15*E15</f>
        <v>0</v>
      </c>
      <c r="G15" s="9"/>
    </row>
    <row r="16" spans="1:7" ht="21.6" customHeight="1" x14ac:dyDescent="0.45">
      <c r="A16" s="9" t="s">
        <v>9</v>
      </c>
      <c r="B16" s="9"/>
      <c r="C16" s="10"/>
      <c r="D16" s="9"/>
      <c r="E16" s="10"/>
      <c r="F16" s="10">
        <f>SUM(F5:F15)</f>
        <v>0</v>
      </c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1626-1C2D-43CA-87E7-DB0501213CD5}">
  <sheetPr codeName="Sheet58"/>
  <dimension ref="A1:G18"/>
  <sheetViews>
    <sheetView zoomScale="140" zoomScaleNormal="140" workbookViewId="0">
      <selection activeCell="A5" sqref="A5:G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56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120</v>
      </c>
      <c r="B4" s="9" t="s">
        <v>121</v>
      </c>
      <c r="C4" s="10">
        <v>1</v>
      </c>
      <c r="D4" s="9" t="s">
        <v>8</v>
      </c>
      <c r="E4" s="10"/>
      <c r="F4" s="10">
        <f>C4*E4</f>
        <v>0</v>
      </c>
      <c r="G4" s="9" t="s">
        <v>122</v>
      </c>
    </row>
    <row r="5" spans="1:7" ht="21.6" customHeight="1" x14ac:dyDescent="0.45">
      <c r="A5" s="9" t="s">
        <v>337</v>
      </c>
      <c r="B5" s="9"/>
      <c r="C5" s="10">
        <v>1</v>
      </c>
      <c r="D5" s="9" t="s">
        <v>8</v>
      </c>
      <c r="E5" s="10"/>
      <c r="F5" s="10">
        <f>C5*E5</f>
        <v>0</v>
      </c>
      <c r="G5" s="9"/>
    </row>
    <row r="6" spans="1:7" ht="21.6" customHeight="1" x14ac:dyDescent="0.45">
      <c r="A6" s="9" t="s">
        <v>338</v>
      </c>
      <c r="B6" s="9"/>
      <c r="C6" s="10">
        <v>1</v>
      </c>
      <c r="D6" s="9" t="s">
        <v>8</v>
      </c>
      <c r="E6" s="10"/>
      <c r="F6" s="10">
        <f>F8</f>
        <v>0</v>
      </c>
      <c r="G6" s="9"/>
    </row>
    <row r="7" spans="1:7" ht="21.6" customHeight="1" x14ac:dyDescent="0.45">
      <c r="A7" s="9" t="s">
        <v>339</v>
      </c>
      <c r="B7" s="9" t="s">
        <v>340</v>
      </c>
      <c r="C7" s="10">
        <v>30</v>
      </c>
      <c r="D7" s="9" t="s">
        <v>137</v>
      </c>
      <c r="E7" s="10"/>
      <c r="F7" s="10">
        <f>C7*E7</f>
        <v>0</v>
      </c>
      <c r="G7" s="9"/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SUM(F7:F7)</f>
        <v>0</v>
      </c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8117-6A61-43D9-A852-3BA7CE537395}">
  <sheetPr codeName="Sheet59"/>
  <dimension ref="A1:G18"/>
  <sheetViews>
    <sheetView zoomScale="140" zoomScaleNormal="140" workbookViewId="0">
      <selection activeCell="A5" sqref="A5:G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276</v>
      </c>
      <c r="G1" s="3">
        <v>57</v>
      </c>
    </row>
    <row r="2" spans="1:7" ht="10.199999999999999" customHeight="1" x14ac:dyDescent="0.45">
      <c r="A2" s="4" t="s">
        <v>38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103</v>
      </c>
      <c r="B4" s="9" t="s">
        <v>147</v>
      </c>
      <c r="C4" s="10">
        <v>1</v>
      </c>
      <c r="D4" s="9" t="s">
        <v>8</v>
      </c>
      <c r="E4" s="10"/>
      <c r="F4" s="10">
        <f>F8</f>
        <v>0</v>
      </c>
      <c r="G4" s="9" t="s">
        <v>148</v>
      </c>
    </row>
    <row r="5" spans="1:7" ht="21.6" customHeight="1" x14ac:dyDescent="0.45">
      <c r="A5" s="9" t="s">
        <v>123</v>
      </c>
      <c r="B5" s="9" t="s">
        <v>306</v>
      </c>
      <c r="C5" s="10">
        <v>119</v>
      </c>
      <c r="D5" s="9" t="s">
        <v>89</v>
      </c>
      <c r="E5" s="10"/>
      <c r="F5" s="10">
        <f>C5*E5</f>
        <v>0</v>
      </c>
      <c r="G5" s="9"/>
    </row>
    <row r="6" spans="1:7" ht="21.6" customHeight="1" x14ac:dyDescent="0.45">
      <c r="A6" s="9" t="s">
        <v>125</v>
      </c>
      <c r="B6" s="9" t="s">
        <v>126</v>
      </c>
      <c r="C6" s="10">
        <v>185</v>
      </c>
      <c r="D6" s="9" t="s">
        <v>89</v>
      </c>
      <c r="E6" s="10"/>
      <c r="F6" s="10">
        <f>C6*E6</f>
        <v>0</v>
      </c>
      <c r="G6" s="9"/>
    </row>
    <row r="7" spans="1:7" ht="21.6" customHeight="1" x14ac:dyDescent="0.45">
      <c r="A7" s="9" t="s">
        <v>101</v>
      </c>
      <c r="B7" s="9" t="s">
        <v>102</v>
      </c>
      <c r="C7" s="10">
        <v>68.3</v>
      </c>
      <c r="D7" s="9" t="s">
        <v>89</v>
      </c>
      <c r="E7" s="10"/>
      <c r="F7" s="10">
        <f>C7*E7</f>
        <v>0</v>
      </c>
      <c r="G7" s="9"/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SUM(F5:F7)</f>
        <v>0</v>
      </c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D3DC-0999-46F4-A621-AB0F52323E9B}">
  <sheetPr codeName="Sheet60"/>
  <dimension ref="A1:G18"/>
  <sheetViews>
    <sheetView zoomScale="140" zoomScaleNormal="140" workbookViewId="0">
      <selection activeCell="A5" sqref="A5:G12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58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F11</f>
        <v>0</v>
      </c>
      <c r="G4" s="9" t="s">
        <v>168</v>
      </c>
    </row>
    <row r="5" spans="1:7" ht="21.6" customHeight="1" x14ac:dyDescent="0.45">
      <c r="A5" s="9" t="s">
        <v>342</v>
      </c>
      <c r="B5" s="9" t="s">
        <v>343</v>
      </c>
      <c r="C5" s="10">
        <v>1</v>
      </c>
      <c r="D5" s="9" t="s">
        <v>344</v>
      </c>
      <c r="E5" s="10"/>
      <c r="F5" s="10">
        <f>C5*E5</f>
        <v>0</v>
      </c>
      <c r="G5" s="9"/>
    </row>
    <row r="6" spans="1:7" ht="21.6" customHeight="1" x14ac:dyDescent="0.45">
      <c r="A6" s="9" t="s">
        <v>345</v>
      </c>
      <c r="B6" s="9" t="s">
        <v>343</v>
      </c>
      <c r="C6" s="10">
        <v>1</v>
      </c>
      <c r="D6" s="9" t="s">
        <v>344</v>
      </c>
      <c r="E6" s="10"/>
      <c r="F6" s="10">
        <f>C6*E6</f>
        <v>0</v>
      </c>
      <c r="G6" s="9"/>
    </row>
    <row r="7" spans="1:7" ht="21.6" customHeight="1" x14ac:dyDescent="0.45">
      <c r="A7" s="9" t="s">
        <v>346</v>
      </c>
      <c r="B7" s="9" t="s">
        <v>343</v>
      </c>
      <c r="C7" s="10">
        <v>1</v>
      </c>
      <c r="D7" s="9" t="s">
        <v>344</v>
      </c>
      <c r="E7" s="10"/>
      <c r="F7" s="10">
        <f>C7*E7</f>
        <v>0</v>
      </c>
      <c r="G7" s="9"/>
    </row>
    <row r="8" spans="1:7" ht="21.6" customHeight="1" x14ac:dyDescent="0.45">
      <c r="A8" s="9" t="s">
        <v>347</v>
      </c>
      <c r="B8" s="9" t="s">
        <v>343</v>
      </c>
      <c r="C8" s="10">
        <v>1</v>
      </c>
      <c r="D8" s="9" t="s">
        <v>344</v>
      </c>
      <c r="E8" s="10"/>
      <c r="F8" s="10">
        <f>C8*E8</f>
        <v>0</v>
      </c>
      <c r="G8" s="9"/>
    </row>
    <row r="9" spans="1:7" ht="21.6" customHeight="1" x14ac:dyDescent="0.45">
      <c r="A9" s="9" t="s">
        <v>348</v>
      </c>
      <c r="B9" s="9" t="s">
        <v>349</v>
      </c>
      <c r="C9" s="10">
        <v>32</v>
      </c>
      <c r="D9" s="9" t="s">
        <v>344</v>
      </c>
      <c r="E9" s="10"/>
      <c r="F9" s="10">
        <f>C9*E9</f>
        <v>0</v>
      </c>
      <c r="G9" s="9"/>
    </row>
    <row r="10" spans="1:7" ht="21.6" customHeight="1" x14ac:dyDescent="0.45">
      <c r="A10" s="9" t="s">
        <v>350</v>
      </c>
      <c r="B10" s="9" t="s">
        <v>351</v>
      </c>
      <c r="C10" s="10">
        <v>32</v>
      </c>
      <c r="D10" s="9" t="s">
        <v>335</v>
      </c>
      <c r="E10" s="10"/>
      <c r="F10" s="10">
        <f>C10*E10</f>
        <v>0</v>
      </c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f>SUM(F5:F10)</f>
        <v>0</v>
      </c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346F-3F77-4FD6-A0E3-52D8B3717D92}">
  <sheetPr codeName="Sheet61"/>
  <dimension ref="A1:G18"/>
  <sheetViews>
    <sheetView zoomScale="140" zoomScaleNormal="140" workbookViewId="0">
      <selection activeCell="A5" sqref="A5:G15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59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169</v>
      </c>
      <c r="B4" s="9"/>
      <c r="C4" s="10">
        <v>1</v>
      </c>
      <c r="D4" s="9" t="s">
        <v>8</v>
      </c>
      <c r="E4" s="10"/>
      <c r="F4" s="10">
        <f>F11</f>
        <v>0</v>
      </c>
      <c r="G4" s="9" t="s">
        <v>170</v>
      </c>
    </row>
    <row r="5" spans="1:7" ht="21.6" customHeight="1" x14ac:dyDescent="0.45">
      <c r="A5" s="9" t="s">
        <v>352</v>
      </c>
      <c r="B5" s="9" t="s">
        <v>353</v>
      </c>
      <c r="C5" s="10">
        <v>312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352</v>
      </c>
      <c r="B6" s="9" t="s">
        <v>354</v>
      </c>
      <c r="C6" s="10">
        <v>178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352</v>
      </c>
      <c r="B7" s="9" t="s">
        <v>355</v>
      </c>
      <c r="C7" s="10">
        <v>97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352</v>
      </c>
      <c r="B8" s="9" t="s">
        <v>356</v>
      </c>
      <c r="C8" s="10">
        <v>143</v>
      </c>
      <c r="D8" s="9" t="s">
        <v>132</v>
      </c>
      <c r="E8" s="10"/>
      <c r="F8" s="10">
        <f>C8*E8</f>
        <v>0</v>
      </c>
      <c r="G8" s="9"/>
    </row>
    <row r="9" spans="1:7" ht="21.6" customHeight="1" x14ac:dyDescent="0.45">
      <c r="A9" s="9" t="s">
        <v>357</v>
      </c>
      <c r="B9" s="9" t="s">
        <v>358</v>
      </c>
      <c r="C9" s="10">
        <v>32</v>
      </c>
      <c r="D9" s="9" t="s">
        <v>132</v>
      </c>
      <c r="E9" s="10"/>
      <c r="F9" s="10">
        <f>C9*E9</f>
        <v>0</v>
      </c>
      <c r="G9" s="9"/>
    </row>
    <row r="10" spans="1:7" ht="21.6" customHeight="1" x14ac:dyDescent="0.45">
      <c r="A10" s="9" t="s">
        <v>357</v>
      </c>
      <c r="B10" s="9" t="s">
        <v>359</v>
      </c>
      <c r="C10" s="10">
        <v>48</v>
      </c>
      <c r="D10" s="9" t="s">
        <v>132</v>
      </c>
      <c r="E10" s="10"/>
      <c r="F10" s="10">
        <f>C10*E10</f>
        <v>0</v>
      </c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f>SUM(F5:F10)</f>
        <v>0</v>
      </c>
      <c r="G11" s="9"/>
    </row>
    <row r="12" spans="1:7" ht="21.6" customHeight="1" x14ac:dyDescent="0.45">
      <c r="A12" s="9" t="s">
        <v>171</v>
      </c>
      <c r="B12" s="9"/>
      <c r="C12" s="10">
        <v>1</v>
      </c>
      <c r="D12" s="9" t="s">
        <v>8</v>
      </c>
      <c r="E12" s="10"/>
      <c r="F12" s="10">
        <f>F14</f>
        <v>0</v>
      </c>
      <c r="G12" s="9" t="s">
        <v>172</v>
      </c>
    </row>
    <row r="13" spans="1:7" ht="21.6" customHeight="1" x14ac:dyDescent="0.45">
      <c r="A13" s="9" t="s">
        <v>360</v>
      </c>
      <c r="B13" s="9" t="s">
        <v>351</v>
      </c>
      <c r="C13" s="10">
        <v>2</v>
      </c>
      <c r="D13" s="9" t="s">
        <v>137</v>
      </c>
      <c r="E13" s="10"/>
      <c r="F13" s="10">
        <f>C13*E13</f>
        <v>0</v>
      </c>
      <c r="G13" s="9"/>
    </row>
    <row r="14" spans="1:7" ht="21.6" customHeight="1" x14ac:dyDescent="0.45">
      <c r="A14" s="9" t="s">
        <v>9</v>
      </c>
      <c r="B14" s="9"/>
      <c r="C14" s="10"/>
      <c r="D14" s="9"/>
      <c r="E14" s="10"/>
      <c r="F14" s="10">
        <f>SUM(F13:F13)</f>
        <v>0</v>
      </c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E0D2-C539-4CBF-A94A-A00832517B92}">
  <sheetPr codeName="Sheet62"/>
  <dimension ref="A1:G18"/>
  <sheetViews>
    <sheetView zoomScale="140" zoomScaleNormal="140" workbookViewId="0">
      <selection activeCell="A5" sqref="A5:G12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60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173</v>
      </c>
      <c r="B4" s="9"/>
      <c r="C4" s="10">
        <v>1</v>
      </c>
      <c r="D4" s="9" t="s">
        <v>8</v>
      </c>
      <c r="E4" s="10"/>
      <c r="F4" s="10">
        <f>F11</f>
        <v>0</v>
      </c>
      <c r="G4" s="9" t="s">
        <v>174</v>
      </c>
    </row>
    <row r="5" spans="1:7" ht="21.6" customHeight="1" x14ac:dyDescent="0.45">
      <c r="A5" s="9" t="s">
        <v>361</v>
      </c>
      <c r="B5" s="9" t="s">
        <v>362</v>
      </c>
      <c r="C5" s="10"/>
      <c r="D5" s="9" t="s">
        <v>335</v>
      </c>
      <c r="E5" s="10"/>
      <c r="F5" s="10">
        <f>C5*E5</f>
        <v>0</v>
      </c>
      <c r="G5" s="9"/>
    </row>
    <row r="6" spans="1:7" ht="21.6" customHeight="1" x14ac:dyDescent="0.45">
      <c r="A6" s="9" t="s">
        <v>361</v>
      </c>
      <c r="B6" s="9" t="s">
        <v>363</v>
      </c>
      <c r="C6" s="10"/>
      <c r="D6" s="9" t="s">
        <v>335</v>
      </c>
      <c r="E6" s="10"/>
      <c r="F6" s="10">
        <f>C6*E6</f>
        <v>0</v>
      </c>
      <c r="G6" s="9"/>
    </row>
    <row r="7" spans="1:7" ht="21.6" customHeight="1" x14ac:dyDescent="0.45">
      <c r="A7" s="9" t="s">
        <v>364</v>
      </c>
      <c r="B7" s="9" t="s">
        <v>365</v>
      </c>
      <c r="C7" s="10"/>
      <c r="D7" s="9"/>
      <c r="E7" s="10"/>
      <c r="F7" s="10"/>
      <c r="G7" s="9"/>
    </row>
    <row r="8" spans="1:7" ht="21.6" customHeight="1" x14ac:dyDescent="0.45">
      <c r="A8" s="9" t="s">
        <v>73</v>
      </c>
      <c r="B8" s="9"/>
      <c r="C8" s="10">
        <v>64</v>
      </c>
      <c r="D8" s="9"/>
      <c r="E8" s="10"/>
      <c r="F8" s="10"/>
      <c r="G8" s="9"/>
    </row>
    <row r="9" spans="1:7" ht="21.6" customHeight="1" x14ac:dyDescent="0.45">
      <c r="A9" s="9" t="s">
        <v>364</v>
      </c>
      <c r="B9" s="9" t="s">
        <v>366</v>
      </c>
      <c r="C9" s="10"/>
      <c r="D9" s="9"/>
      <c r="E9" s="10"/>
      <c r="F9" s="10"/>
      <c r="G9" s="9"/>
    </row>
    <row r="10" spans="1:7" ht="21.6" customHeight="1" x14ac:dyDescent="0.45">
      <c r="A10" s="9" t="s">
        <v>73</v>
      </c>
      <c r="B10" s="9"/>
      <c r="C10" s="10">
        <v>32</v>
      </c>
      <c r="D10" s="9"/>
      <c r="E10" s="10"/>
      <c r="F10" s="10"/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f>SUM(F5:F10)</f>
        <v>0</v>
      </c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4DD2-1594-4125-98A5-521DFD226DD3}">
  <sheetPr codeName="Sheet63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61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F8</f>
        <v>0</v>
      </c>
      <c r="G4" s="9" t="s">
        <v>175</v>
      </c>
    </row>
    <row r="5" spans="1:7" ht="21.6" customHeight="1" x14ac:dyDescent="0.45">
      <c r="A5" s="9" t="s">
        <v>367</v>
      </c>
      <c r="B5" s="9" t="s">
        <v>368</v>
      </c>
      <c r="C5" s="10">
        <v>1</v>
      </c>
      <c r="D5" s="9" t="s">
        <v>344</v>
      </c>
      <c r="E5" s="10"/>
      <c r="F5" s="10">
        <f>C5*E5</f>
        <v>0</v>
      </c>
      <c r="G5" s="9"/>
    </row>
    <row r="6" spans="1:7" ht="21.6" customHeight="1" x14ac:dyDescent="0.45">
      <c r="A6" s="9" t="s">
        <v>369</v>
      </c>
      <c r="B6" s="9" t="s">
        <v>370</v>
      </c>
      <c r="C6" s="10">
        <v>2</v>
      </c>
      <c r="D6" s="9" t="s">
        <v>344</v>
      </c>
      <c r="E6" s="10"/>
      <c r="F6" s="10">
        <f>C6*E6</f>
        <v>0</v>
      </c>
      <c r="G6" s="9"/>
    </row>
    <row r="7" spans="1:7" ht="21.6" customHeight="1" x14ac:dyDescent="0.45">
      <c r="A7" s="9" t="s">
        <v>369</v>
      </c>
      <c r="B7" s="9" t="s">
        <v>371</v>
      </c>
      <c r="C7" s="10">
        <v>2</v>
      </c>
      <c r="D7" s="9" t="s">
        <v>344</v>
      </c>
      <c r="E7" s="10"/>
      <c r="F7" s="10">
        <f>C7*E7</f>
        <v>0</v>
      </c>
      <c r="G7" s="9"/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SUM(F5:F7)</f>
        <v>0</v>
      </c>
      <c r="G8" s="9"/>
    </row>
    <row r="9" spans="1:7" ht="21.6" customHeight="1" x14ac:dyDescent="0.45">
      <c r="A9" s="9" t="s">
        <v>176</v>
      </c>
      <c r="B9" s="9"/>
      <c r="C9" s="10">
        <v>1</v>
      </c>
      <c r="D9" s="9" t="s">
        <v>8</v>
      </c>
      <c r="E9" s="10"/>
      <c r="F9" s="10">
        <f>F12</f>
        <v>0</v>
      </c>
      <c r="G9" s="9" t="s">
        <v>177</v>
      </c>
    </row>
    <row r="10" spans="1:7" ht="21.6" customHeight="1" x14ac:dyDescent="0.45">
      <c r="A10" s="9" t="s">
        <v>357</v>
      </c>
      <c r="B10" s="9" t="s">
        <v>372</v>
      </c>
      <c r="C10" s="10">
        <v>28</v>
      </c>
      <c r="D10" s="9" t="s">
        <v>132</v>
      </c>
      <c r="E10" s="10"/>
      <c r="F10" s="10">
        <f>C10*E10</f>
        <v>0</v>
      </c>
      <c r="G10" s="9"/>
    </row>
    <row r="11" spans="1:7" ht="21.6" customHeight="1" x14ac:dyDescent="0.45">
      <c r="A11" s="9" t="s">
        <v>357</v>
      </c>
      <c r="B11" s="9" t="s">
        <v>373</v>
      </c>
      <c r="C11" s="10">
        <v>43</v>
      </c>
      <c r="D11" s="9" t="s">
        <v>132</v>
      </c>
      <c r="E11" s="10"/>
      <c r="F11" s="10">
        <f>C11*E11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SUM(F10:F11)</f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A982-BB1C-445C-8732-7890835ED2DF}">
  <sheetPr codeName="Sheet64"/>
  <dimension ref="A1:G18"/>
  <sheetViews>
    <sheetView zoomScale="140" zoomScaleNormal="140" workbookViewId="0">
      <selection activeCell="A5" sqref="A5:G12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62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178</v>
      </c>
      <c r="B4" s="9"/>
      <c r="C4" s="10">
        <v>1</v>
      </c>
      <c r="D4" s="9" t="s">
        <v>8</v>
      </c>
      <c r="E4" s="10"/>
      <c r="F4" s="10">
        <f>F8</f>
        <v>0</v>
      </c>
      <c r="G4" s="9" t="s">
        <v>179</v>
      </c>
    </row>
    <row r="5" spans="1:7" ht="21.6" customHeight="1" x14ac:dyDescent="0.45">
      <c r="A5" s="9" t="s">
        <v>374</v>
      </c>
      <c r="B5" s="9" t="s">
        <v>375</v>
      </c>
      <c r="C5" s="10">
        <v>1</v>
      </c>
      <c r="D5" s="9" t="s">
        <v>376</v>
      </c>
      <c r="E5" s="10"/>
      <c r="F5" s="10">
        <f>C5*E5</f>
        <v>0</v>
      </c>
      <c r="G5" s="9"/>
    </row>
    <row r="6" spans="1:7" ht="21.6" customHeight="1" x14ac:dyDescent="0.45">
      <c r="A6" s="9" t="s">
        <v>377</v>
      </c>
      <c r="B6" s="9" t="s">
        <v>378</v>
      </c>
      <c r="C6" s="10">
        <v>1</v>
      </c>
      <c r="D6" s="9" t="s">
        <v>379</v>
      </c>
      <c r="E6" s="10"/>
      <c r="F6" s="10">
        <f>C6*E6</f>
        <v>0</v>
      </c>
      <c r="G6" s="9"/>
    </row>
    <row r="7" spans="1:7" ht="21.6" customHeight="1" x14ac:dyDescent="0.45">
      <c r="A7" s="9" t="s">
        <v>380</v>
      </c>
      <c r="B7" s="9" t="s">
        <v>381</v>
      </c>
      <c r="C7" s="10">
        <v>1</v>
      </c>
      <c r="D7" s="9" t="s">
        <v>344</v>
      </c>
      <c r="E7" s="10"/>
      <c r="F7" s="10">
        <f>C7*E7</f>
        <v>0</v>
      </c>
      <c r="G7" s="9"/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SUM(F5:F7)</f>
        <v>0</v>
      </c>
      <c r="G8" s="9"/>
    </row>
    <row r="9" spans="1:7" ht="21.6" customHeight="1" x14ac:dyDescent="0.45">
      <c r="A9" s="9" t="s">
        <v>180</v>
      </c>
      <c r="B9" s="9"/>
      <c r="C9" s="10">
        <v>1</v>
      </c>
      <c r="D9" s="9" t="s">
        <v>8</v>
      </c>
      <c r="E9" s="10"/>
      <c r="F9" s="10">
        <f>F11</f>
        <v>0</v>
      </c>
      <c r="G9" s="9" t="s">
        <v>181</v>
      </c>
    </row>
    <row r="10" spans="1:7" ht="21.6" customHeight="1" x14ac:dyDescent="0.45">
      <c r="A10" s="9" t="s">
        <v>382</v>
      </c>
      <c r="B10" s="9" t="s">
        <v>383</v>
      </c>
      <c r="C10" s="10">
        <v>23</v>
      </c>
      <c r="D10" s="9" t="s">
        <v>132</v>
      </c>
      <c r="E10" s="10"/>
      <c r="F10" s="10">
        <f>C10*E10</f>
        <v>0</v>
      </c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f>SUM(F10:F10)</f>
        <v>0</v>
      </c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0D47-949B-4B77-8A81-ACF9E7D92827}">
  <sheetPr codeName="Sheet65"/>
  <dimension ref="A1:G18"/>
  <sheetViews>
    <sheetView zoomScale="140" zoomScaleNormal="140" workbookViewId="0">
      <selection activeCell="A5" sqref="A5:G10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63</v>
      </c>
    </row>
    <row r="2" spans="1:7" ht="10.199999999999999" customHeight="1" x14ac:dyDescent="0.45">
      <c r="A2" s="4" t="s">
        <v>46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182</v>
      </c>
      <c r="B4" s="9"/>
      <c r="C4" s="10">
        <v>1</v>
      </c>
      <c r="D4" s="9" t="s">
        <v>8</v>
      </c>
      <c r="E4" s="10"/>
      <c r="F4" s="10">
        <f>F9</f>
        <v>0</v>
      </c>
      <c r="G4" s="9" t="s">
        <v>183</v>
      </c>
    </row>
    <row r="5" spans="1:7" ht="21.6" customHeight="1" x14ac:dyDescent="0.45">
      <c r="A5" s="9" t="s">
        <v>384</v>
      </c>
      <c r="B5" s="9" t="s">
        <v>385</v>
      </c>
      <c r="C5" s="10">
        <v>1</v>
      </c>
      <c r="D5" s="9" t="s">
        <v>344</v>
      </c>
      <c r="E5" s="10"/>
      <c r="F5" s="10">
        <f>C5*E5</f>
        <v>0</v>
      </c>
      <c r="G5" s="9"/>
    </row>
    <row r="6" spans="1:7" ht="21.6" customHeight="1" x14ac:dyDescent="0.45">
      <c r="A6" s="9" t="s">
        <v>386</v>
      </c>
      <c r="B6" s="9" t="s">
        <v>351</v>
      </c>
      <c r="C6" s="10">
        <v>16</v>
      </c>
      <c r="D6" s="9" t="s">
        <v>335</v>
      </c>
      <c r="E6" s="10"/>
      <c r="F6" s="10">
        <f>C6*E6</f>
        <v>0</v>
      </c>
      <c r="G6" s="9"/>
    </row>
    <row r="7" spans="1:7" ht="21.6" customHeight="1" x14ac:dyDescent="0.45">
      <c r="A7" s="9" t="s">
        <v>387</v>
      </c>
      <c r="B7" s="9" t="s">
        <v>351</v>
      </c>
      <c r="C7" s="10">
        <v>16</v>
      </c>
      <c r="D7" s="9" t="s">
        <v>335</v>
      </c>
      <c r="E7" s="10"/>
      <c r="F7" s="10">
        <f>C7*E7</f>
        <v>0</v>
      </c>
      <c r="G7" s="9"/>
    </row>
    <row r="8" spans="1:7" ht="21.6" customHeight="1" x14ac:dyDescent="0.45">
      <c r="A8" s="9" t="s">
        <v>388</v>
      </c>
      <c r="B8" s="9" t="s">
        <v>351</v>
      </c>
      <c r="C8" s="10">
        <v>16</v>
      </c>
      <c r="D8" s="9" t="s">
        <v>335</v>
      </c>
      <c r="E8" s="10"/>
      <c r="F8" s="10">
        <f>C8*E8</f>
        <v>0</v>
      </c>
      <c r="G8" s="9"/>
    </row>
    <row r="9" spans="1:7" ht="21.6" customHeight="1" x14ac:dyDescent="0.45">
      <c r="A9" s="9" t="s">
        <v>9</v>
      </c>
      <c r="B9" s="9"/>
      <c r="C9" s="10"/>
      <c r="D9" s="9"/>
      <c r="E9" s="10"/>
      <c r="F9" s="10">
        <f>SUM(F5:F8)</f>
        <v>0</v>
      </c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86C5-BB10-458F-B7F3-A2CDED2B7C4A}">
  <sheetPr codeName="Sheet66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64</v>
      </c>
    </row>
    <row r="2" spans="1:7" ht="10.199999999999999" customHeight="1" x14ac:dyDescent="0.45">
      <c r="A2" s="4" t="s">
        <v>52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F9</f>
        <v>0</v>
      </c>
      <c r="G4" s="9" t="s">
        <v>184</v>
      </c>
    </row>
    <row r="5" spans="1:7" ht="21.6" customHeight="1" x14ac:dyDescent="0.45">
      <c r="A5" s="9" t="s">
        <v>389</v>
      </c>
      <c r="B5" s="9" t="s">
        <v>343</v>
      </c>
      <c r="C5" s="10">
        <v>1</v>
      </c>
      <c r="D5" s="9" t="s">
        <v>344</v>
      </c>
      <c r="E5" s="10"/>
      <c r="F5" s="10">
        <f>C5*E5</f>
        <v>0</v>
      </c>
      <c r="G5" s="9"/>
    </row>
    <row r="6" spans="1:7" ht="21.6" customHeight="1" x14ac:dyDescent="0.45">
      <c r="A6" s="9" t="s">
        <v>390</v>
      </c>
      <c r="B6" s="9" t="s">
        <v>391</v>
      </c>
      <c r="C6" s="10">
        <v>1</v>
      </c>
      <c r="D6" s="9" t="s">
        <v>344</v>
      </c>
      <c r="E6" s="10"/>
      <c r="F6" s="10">
        <f>C6*E6</f>
        <v>0</v>
      </c>
      <c r="G6" s="9"/>
    </row>
    <row r="7" spans="1:7" ht="21.6" customHeight="1" x14ac:dyDescent="0.45">
      <c r="A7" s="9" t="s">
        <v>392</v>
      </c>
      <c r="B7" s="9" t="s">
        <v>343</v>
      </c>
      <c r="C7" s="10">
        <v>1</v>
      </c>
      <c r="D7" s="9" t="s">
        <v>344</v>
      </c>
      <c r="E7" s="10"/>
      <c r="F7" s="10">
        <f>C7*E7</f>
        <v>0</v>
      </c>
      <c r="G7" s="9"/>
    </row>
    <row r="8" spans="1:7" ht="21.6" customHeight="1" x14ac:dyDescent="0.45">
      <c r="A8" s="9" t="s">
        <v>393</v>
      </c>
      <c r="B8" s="9" t="s">
        <v>343</v>
      </c>
      <c r="C8" s="10">
        <v>1</v>
      </c>
      <c r="D8" s="9" t="s">
        <v>344</v>
      </c>
      <c r="E8" s="10"/>
      <c r="F8" s="10">
        <f>C8*E8</f>
        <v>0</v>
      </c>
      <c r="G8" s="9"/>
    </row>
    <row r="9" spans="1:7" ht="21.6" customHeight="1" x14ac:dyDescent="0.45">
      <c r="A9" s="9" t="s">
        <v>9</v>
      </c>
      <c r="B9" s="9"/>
      <c r="C9" s="10"/>
      <c r="D9" s="9"/>
      <c r="E9" s="10"/>
      <c r="F9" s="10">
        <f>SUM(F5:F8)</f>
        <v>0</v>
      </c>
      <c r="G9" s="9"/>
    </row>
    <row r="10" spans="1:7" ht="21.6" customHeight="1" x14ac:dyDescent="0.45">
      <c r="A10" s="9" t="s">
        <v>173</v>
      </c>
      <c r="B10" s="9"/>
      <c r="C10" s="10">
        <v>1</v>
      </c>
      <c r="D10" s="9" t="s">
        <v>8</v>
      </c>
      <c r="E10" s="10"/>
      <c r="F10" s="10">
        <f>F12</f>
        <v>0</v>
      </c>
      <c r="G10" s="9" t="s">
        <v>185</v>
      </c>
    </row>
    <row r="11" spans="1:7" ht="21.6" customHeight="1" x14ac:dyDescent="0.45">
      <c r="A11" s="9" t="s">
        <v>361</v>
      </c>
      <c r="B11" s="9" t="s">
        <v>362</v>
      </c>
      <c r="C11" s="10"/>
      <c r="D11" s="9" t="s">
        <v>335</v>
      </c>
      <c r="E11" s="10"/>
      <c r="F11" s="10">
        <f>C11*E11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SUM(F11:F11)</f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51D8-5B4D-4871-8B40-CD93C0A5F651}">
  <sheetPr codeName="Sheet67"/>
  <dimension ref="A1:G18"/>
  <sheetViews>
    <sheetView zoomScale="140" zoomScaleNormal="140" workbookViewId="0">
      <selection activeCell="A5" sqref="A5:G10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65</v>
      </c>
    </row>
    <row r="2" spans="1:7" ht="10.199999999999999" customHeight="1" x14ac:dyDescent="0.45">
      <c r="A2" s="4" t="s">
        <v>52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186</v>
      </c>
      <c r="B4" s="9"/>
      <c r="C4" s="10">
        <v>1</v>
      </c>
      <c r="D4" s="9" t="s">
        <v>8</v>
      </c>
      <c r="E4" s="10"/>
      <c r="F4" s="10">
        <f>F9</f>
        <v>0</v>
      </c>
      <c r="G4" s="9" t="s">
        <v>187</v>
      </c>
    </row>
    <row r="5" spans="1:7" ht="21.6" customHeight="1" x14ac:dyDescent="0.45">
      <c r="A5" s="9" t="s">
        <v>352</v>
      </c>
      <c r="B5" s="9" t="s">
        <v>394</v>
      </c>
      <c r="C5" s="10">
        <v>9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352</v>
      </c>
      <c r="B6" s="9" t="s">
        <v>353</v>
      </c>
      <c r="C6" s="10">
        <v>26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352</v>
      </c>
      <c r="B7" s="9" t="s">
        <v>395</v>
      </c>
      <c r="C7" s="10">
        <v>15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352</v>
      </c>
      <c r="B8" s="9" t="s">
        <v>396</v>
      </c>
      <c r="C8" s="10">
        <v>15</v>
      </c>
      <c r="D8" s="9" t="s">
        <v>132</v>
      </c>
      <c r="E8" s="10"/>
      <c r="F8" s="10">
        <f>C8*E8</f>
        <v>0</v>
      </c>
      <c r="G8" s="9"/>
    </row>
    <row r="9" spans="1:7" ht="21.6" customHeight="1" x14ac:dyDescent="0.45">
      <c r="A9" s="9" t="s">
        <v>9</v>
      </c>
      <c r="B9" s="9"/>
      <c r="C9" s="10"/>
      <c r="D9" s="9"/>
      <c r="E9" s="10"/>
      <c r="F9" s="10">
        <f>SUM(F5:F8)</f>
        <v>0</v>
      </c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8517-BDA0-4105-A3CE-295F434BDD2D}">
  <sheetPr codeName="Sheet68"/>
  <dimension ref="A1:G18"/>
  <sheetViews>
    <sheetView zoomScale="140" zoomScaleNormal="140" workbookViewId="0">
      <selection activeCell="A5" sqref="A5:G12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66</v>
      </c>
    </row>
    <row r="2" spans="1:7" ht="10.199999999999999" customHeight="1" x14ac:dyDescent="0.45">
      <c r="A2" s="4" t="s">
        <v>54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167</v>
      </c>
      <c r="B4" s="9"/>
      <c r="C4" s="10">
        <v>1</v>
      </c>
      <c r="D4" s="9" t="s">
        <v>8</v>
      </c>
      <c r="E4" s="10"/>
      <c r="F4" s="10">
        <f>F7</f>
        <v>0</v>
      </c>
      <c r="G4" s="9" t="s">
        <v>188</v>
      </c>
    </row>
    <row r="5" spans="1:7" ht="21.6" customHeight="1" x14ac:dyDescent="0.45">
      <c r="A5" s="9" t="s">
        <v>397</v>
      </c>
      <c r="B5" s="9" t="s">
        <v>343</v>
      </c>
      <c r="C5" s="10">
        <v>1</v>
      </c>
      <c r="D5" s="9" t="s">
        <v>344</v>
      </c>
      <c r="E5" s="10"/>
      <c r="F5" s="10">
        <f>C5*E5</f>
        <v>0</v>
      </c>
      <c r="G5" s="9"/>
    </row>
    <row r="6" spans="1:7" ht="21.6" customHeight="1" x14ac:dyDescent="0.45">
      <c r="A6" s="9" t="s">
        <v>398</v>
      </c>
      <c r="B6" s="9" t="s">
        <v>399</v>
      </c>
      <c r="C6" s="10">
        <v>1</v>
      </c>
      <c r="D6" s="9" t="s">
        <v>335</v>
      </c>
      <c r="E6" s="10"/>
      <c r="F6" s="10">
        <f>C6*E6</f>
        <v>0</v>
      </c>
      <c r="G6" s="9"/>
    </row>
    <row r="7" spans="1:7" ht="21.6" customHeight="1" x14ac:dyDescent="0.45">
      <c r="A7" s="9" t="s">
        <v>9</v>
      </c>
      <c r="B7" s="9"/>
      <c r="C7" s="10"/>
      <c r="D7" s="9"/>
      <c r="E7" s="10"/>
      <c r="F7" s="10">
        <f>SUM(F5:F6)</f>
        <v>0</v>
      </c>
      <c r="G7" s="9"/>
    </row>
    <row r="8" spans="1:7" ht="21.6" customHeight="1" x14ac:dyDescent="0.45">
      <c r="A8" s="9" t="s">
        <v>173</v>
      </c>
      <c r="B8" s="9"/>
      <c r="C8" s="10">
        <v>1</v>
      </c>
      <c r="D8" s="9" t="s">
        <v>8</v>
      </c>
      <c r="E8" s="10"/>
      <c r="F8" s="10">
        <f>F11</f>
        <v>0</v>
      </c>
      <c r="G8" s="9" t="s">
        <v>189</v>
      </c>
    </row>
    <row r="9" spans="1:7" ht="21.6" customHeight="1" x14ac:dyDescent="0.45">
      <c r="A9" s="9" t="s">
        <v>400</v>
      </c>
      <c r="B9" s="9" t="s">
        <v>365</v>
      </c>
      <c r="C9" s="10">
        <v>4</v>
      </c>
      <c r="D9" s="9" t="s">
        <v>335</v>
      </c>
      <c r="E9" s="10"/>
      <c r="F9" s="10">
        <f>C9*E9</f>
        <v>0</v>
      </c>
      <c r="G9" s="9"/>
    </row>
    <row r="10" spans="1:7" ht="21.6" customHeight="1" x14ac:dyDescent="0.45">
      <c r="A10" s="9" t="s">
        <v>361</v>
      </c>
      <c r="B10" s="9" t="s">
        <v>401</v>
      </c>
      <c r="C10" s="10"/>
      <c r="D10" s="9" t="s">
        <v>335</v>
      </c>
      <c r="E10" s="10"/>
      <c r="F10" s="10">
        <f>C10*E10</f>
        <v>0</v>
      </c>
      <c r="G10" s="9"/>
    </row>
    <row r="11" spans="1:7" ht="21.6" customHeight="1" x14ac:dyDescent="0.45">
      <c r="A11" s="9" t="s">
        <v>9</v>
      </c>
      <c r="B11" s="9"/>
      <c r="C11" s="10"/>
      <c r="D11" s="9"/>
      <c r="E11" s="10"/>
      <c r="F11" s="10">
        <f>SUM(F9:F10)</f>
        <v>0</v>
      </c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BEEC-8984-4D09-8C6C-676BE9CC47F6}">
  <sheetPr codeName="Sheet69"/>
  <dimension ref="A1:G18"/>
  <sheetViews>
    <sheetView zoomScale="140" zoomScaleNormal="140" workbookViewId="0">
      <selection activeCell="A5" sqref="A5:G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341</v>
      </c>
      <c r="G1" s="3">
        <v>67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190</v>
      </c>
      <c r="B4" s="9"/>
      <c r="C4" s="10">
        <v>1</v>
      </c>
      <c r="D4" s="9" t="s">
        <v>8</v>
      </c>
      <c r="E4" s="10"/>
      <c r="F4" s="10">
        <f>F8</f>
        <v>0</v>
      </c>
      <c r="G4" s="9" t="s">
        <v>191</v>
      </c>
    </row>
    <row r="5" spans="1:7" ht="21.6" customHeight="1" x14ac:dyDescent="0.45">
      <c r="A5" s="9" t="s">
        <v>402</v>
      </c>
      <c r="B5" s="9" t="s">
        <v>351</v>
      </c>
      <c r="C5" s="10">
        <v>31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403</v>
      </c>
      <c r="B6" s="9" t="s">
        <v>404</v>
      </c>
      <c r="C6" s="10">
        <v>31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403</v>
      </c>
      <c r="B7" s="9" t="s">
        <v>405</v>
      </c>
      <c r="C7" s="10">
        <v>21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9</v>
      </c>
      <c r="B8" s="9"/>
      <c r="C8" s="10"/>
      <c r="D8" s="9"/>
      <c r="E8" s="10"/>
      <c r="F8" s="10">
        <f>SUM(F5:F7)</f>
        <v>0</v>
      </c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CF78-A055-41B0-AF27-4717D011A0D1}">
  <sheetPr codeName="Sheet70"/>
  <dimension ref="A1:G18"/>
  <sheetViews>
    <sheetView zoomScale="140" zoomScaleNormal="140" workbookViewId="0">
      <selection activeCell="A5" sqref="A5:G15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68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182</v>
      </c>
      <c r="B4" s="9"/>
      <c r="C4" s="10">
        <v>1</v>
      </c>
      <c r="D4" s="9" t="s">
        <v>8</v>
      </c>
      <c r="E4" s="10"/>
      <c r="F4" s="10">
        <f>F9</f>
        <v>0</v>
      </c>
      <c r="G4" s="9" t="s">
        <v>193</v>
      </c>
    </row>
    <row r="5" spans="1:7" ht="21.6" customHeight="1" x14ac:dyDescent="0.45">
      <c r="A5" s="9" t="s">
        <v>407</v>
      </c>
      <c r="B5" s="9" t="s">
        <v>408</v>
      </c>
      <c r="C5" s="10"/>
      <c r="D5" s="9" t="s">
        <v>321</v>
      </c>
      <c r="E5" s="10"/>
      <c r="F5" s="10">
        <f>C5*E5</f>
        <v>0</v>
      </c>
      <c r="G5" s="9"/>
    </row>
    <row r="6" spans="1:7" ht="21.6" customHeight="1" x14ac:dyDescent="0.45">
      <c r="A6" s="9" t="s">
        <v>409</v>
      </c>
      <c r="B6" s="9" t="s">
        <v>410</v>
      </c>
      <c r="C6" s="10"/>
      <c r="D6" s="9" t="s">
        <v>321</v>
      </c>
      <c r="E6" s="10"/>
      <c r="F6" s="10">
        <f>C6*E6</f>
        <v>0</v>
      </c>
      <c r="G6" s="9"/>
    </row>
    <row r="7" spans="1:7" ht="21.6" customHeight="1" x14ac:dyDescent="0.45">
      <c r="A7" s="9" t="s">
        <v>411</v>
      </c>
      <c r="B7" s="9" t="s">
        <v>412</v>
      </c>
      <c r="C7" s="10"/>
      <c r="D7" s="9" t="s">
        <v>321</v>
      </c>
      <c r="E7" s="10"/>
      <c r="F7" s="10">
        <f>C7*E7</f>
        <v>0</v>
      </c>
      <c r="G7" s="9"/>
    </row>
    <row r="8" spans="1:7" ht="21.6" customHeight="1" x14ac:dyDescent="0.45">
      <c r="A8" s="9" t="s">
        <v>413</v>
      </c>
      <c r="B8" s="9" t="s">
        <v>351</v>
      </c>
      <c r="C8" s="10">
        <v>1</v>
      </c>
      <c r="D8" s="9" t="s">
        <v>321</v>
      </c>
      <c r="E8" s="10"/>
      <c r="F8" s="10">
        <f>C8*E8</f>
        <v>0</v>
      </c>
      <c r="G8" s="9"/>
    </row>
    <row r="9" spans="1:7" ht="21.6" customHeight="1" x14ac:dyDescent="0.45">
      <c r="A9" s="9" t="s">
        <v>9</v>
      </c>
      <c r="B9" s="9"/>
      <c r="C9" s="10"/>
      <c r="D9" s="9"/>
      <c r="E9" s="10"/>
      <c r="F9" s="10">
        <f>SUM(F5:F8)</f>
        <v>0</v>
      </c>
      <c r="G9" s="9"/>
    </row>
    <row r="10" spans="1:7" ht="21.6" customHeight="1" x14ac:dyDescent="0.45">
      <c r="A10" s="9" t="s">
        <v>194</v>
      </c>
      <c r="B10" s="9"/>
      <c r="C10" s="10">
        <v>1</v>
      </c>
      <c r="D10" s="9" t="s">
        <v>8</v>
      </c>
      <c r="E10" s="10"/>
      <c r="F10" s="10">
        <f>C10*E10</f>
        <v>0</v>
      </c>
      <c r="G10" s="9" t="s">
        <v>195</v>
      </c>
    </row>
    <row r="11" spans="1:7" ht="21.6" customHeight="1" x14ac:dyDescent="0.45">
      <c r="A11" s="9" t="s">
        <v>414</v>
      </c>
      <c r="B11" s="9" t="s">
        <v>415</v>
      </c>
      <c r="C11" s="10">
        <v>1.2</v>
      </c>
      <c r="D11" s="9" t="s">
        <v>239</v>
      </c>
      <c r="E11" s="10"/>
      <c r="F11" s="10">
        <f>C11*E11</f>
        <v>0</v>
      </c>
      <c r="G11" s="9"/>
    </row>
    <row r="12" spans="1:7" ht="21.6" customHeight="1" x14ac:dyDescent="0.45">
      <c r="A12" s="9" t="s">
        <v>416</v>
      </c>
      <c r="B12" s="9" t="s">
        <v>417</v>
      </c>
      <c r="C12" s="10">
        <v>1</v>
      </c>
      <c r="D12" s="9" t="s">
        <v>8</v>
      </c>
      <c r="E12" s="10"/>
      <c r="F12" s="10">
        <f>C12*E12</f>
        <v>0</v>
      </c>
      <c r="G12" s="9"/>
    </row>
    <row r="13" spans="1:7" ht="21.6" customHeight="1" x14ac:dyDescent="0.45">
      <c r="A13" s="9" t="s">
        <v>416</v>
      </c>
      <c r="B13" s="9" t="s">
        <v>418</v>
      </c>
      <c r="C13" s="10">
        <v>1</v>
      </c>
      <c r="D13" s="9" t="s">
        <v>8</v>
      </c>
      <c r="E13" s="10"/>
      <c r="F13" s="10">
        <f>F14</f>
        <v>0</v>
      </c>
      <c r="G13" s="9"/>
    </row>
    <row r="14" spans="1:7" ht="21.6" customHeight="1" x14ac:dyDescent="0.45">
      <c r="A14" s="9" t="s">
        <v>9</v>
      </c>
      <c r="B14" s="9"/>
      <c r="C14" s="10"/>
      <c r="D14" s="9"/>
      <c r="E14" s="10"/>
      <c r="F14" s="10">
        <v>0</v>
      </c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A071-E440-4DC3-95C7-D293068D61A9}">
  <sheetPr codeName="Sheet71"/>
  <dimension ref="A1:G19"/>
  <sheetViews>
    <sheetView zoomScale="140" zoomScaleNormal="140" workbookViewId="0">
      <selection activeCell="A5" sqref="A5:G19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69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196</v>
      </c>
      <c r="B4" s="9"/>
      <c r="C4" s="10">
        <v>1</v>
      </c>
      <c r="D4" s="9" t="s">
        <v>8</v>
      </c>
      <c r="E4" s="10"/>
      <c r="F4" s="10">
        <f>F18</f>
        <v>0</v>
      </c>
      <c r="G4" s="9" t="s">
        <v>197</v>
      </c>
    </row>
    <row r="5" spans="1:7" ht="21.6" customHeight="1" x14ac:dyDescent="0.45">
      <c r="A5" s="9" t="s">
        <v>419</v>
      </c>
      <c r="B5" s="9" t="s">
        <v>420</v>
      </c>
      <c r="C5" s="10">
        <v>41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419</v>
      </c>
      <c r="B6" s="9" t="s">
        <v>421</v>
      </c>
      <c r="C6" s="10">
        <v>45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419</v>
      </c>
      <c r="B7" s="9" t="s">
        <v>422</v>
      </c>
      <c r="C7" s="10">
        <v>8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419</v>
      </c>
      <c r="B8" s="9" t="s">
        <v>423</v>
      </c>
      <c r="C8" s="10">
        <v>29</v>
      </c>
      <c r="D8" s="9" t="s">
        <v>132</v>
      </c>
      <c r="E8" s="10"/>
      <c r="F8" s="10">
        <f>C8*E8</f>
        <v>0</v>
      </c>
      <c r="G8" s="9"/>
    </row>
    <row r="9" spans="1:7" ht="21.6" customHeight="1" x14ac:dyDescent="0.45">
      <c r="A9" s="9" t="s">
        <v>419</v>
      </c>
      <c r="B9" s="9" t="s">
        <v>424</v>
      </c>
      <c r="C9" s="10">
        <v>4</v>
      </c>
      <c r="D9" s="9" t="s">
        <v>132</v>
      </c>
      <c r="E9" s="10"/>
      <c r="F9" s="10">
        <f>C9*E9</f>
        <v>0</v>
      </c>
      <c r="G9" s="9"/>
    </row>
    <row r="10" spans="1:7" ht="21.6" customHeight="1" x14ac:dyDescent="0.45">
      <c r="A10" s="9" t="s">
        <v>419</v>
      </c>
      <c r="B10" s="9" t="s">
        <v>425</v>
      </c>
      <c r="C10" s="10">
        <v>11</v>
      </c>
      <c r="D10" s="9" t="s">
        <v>132</v>
      </c>
      <c r="E10" s="10"/>
      <c r="F10" s="10">
        <f>C10*E10</f>
        <v>0</v>
      </c>
      <c r="G10" s="9"/>
    </row>
    <row r="11" spans="1:7" ht="21.6" customHeight="1" x14ac:dyDescent="0.45">
      <c r="A11" s="9" t="s">
        <v>419</v>
      </c>
      <c r="B11" s="9" t="s">
        <v>426</v>
      </c>
      <c r="C11" s="10">
        <v>4</v>
      </c>
      <c r="D11" s="9" t="s">
        <v>132</v>
      </c>
      <c r="E11" s="10"/>
      <c r="F11" s="10">
        <f>C11*E11</f>
        <v>0</v>
      </c>
      <c r="G11" s="9"/>
    </row>
    <row r="12" spans="1:7" ht="21.6" customHeight="1" x14ac:dyDescent="0.45">
      <c r="A12" s="9" t="s">
        <v>427</v>
      </c>
      <c r="B12" s="9" t="s">
        <v>428</v>
      </c>
      <c r="C12" s="10">
        <v>1</v>
      </c>
      <c r="D12" s="9" t="s">
        <v>132</v>
      </c>
      <c r="E12" s="10"/>
      <c r="F12" s="10">
        <f>C12*E12</f>
        <v>0</v>
      </c>
      <c r="G12" s="9"/>
    </row>
    <row r="13" spans="1:7" ht="21.6" customHeight="1" x14ac:dyDescent="0.45">
      <c r="A13" s="9" t="s">
        <v>427</v>
      </c>
      <c r="B13" s="9" t="s">
        <v>429</v>
      </c>
      <c r="C13" s="10">
        <v>14</v>
      </c>
      <c r="D13" s="9" t="s">
        <v>132</v>
      </c>
      <c r="E13" s="10"/>
      <c r="F13" s="10">
        <f>C13*E13</f>
        <v>0</v>
      </c>
      <c r="G13" s="9"/>
    </row>
    <row r="14" spans="1:7" ht="21.6" customHeight="1" x14ac:dyDescent="0.45">
      <c r="A14" s="9" t="s">
        <v>427</v>
      </c>
      <c r="B14" s="9" t="s">
        <v>430</v>
      </c>
      <c r="C14" s="10">
        <v>46</v>
      </c>
      <c r="D14" s="9" t="s">
        <v>132</v>
      </c>
      <c r="E14" s="10"/>
      <c r="F14" s="10">
        <f>C14*E14</f>
        <v>0</v>
      </c>
      <c r="G14" s="9"/>
    </row>
    <row r="15" spans="1:7" ht="21.6" customHeight="1" x14ac:dyDescent="0.45">
      <c r="A15" s="9" t="s">
        <v>431</v>
      </c>
      <c r="B15" s="9" t="s">
        <v>351</v>
      </c>
      <c r="C15" s="10">
        <v>1</v>
      </c>
      <c r="D15" s="9" t="s">
        <v>335</v>
      </c>
      <c r="E15" s="10"/>
      <c r="F15" s="10">
        <f>C15*E15</f>
        <v>0</v>
      </c>
      <c r="G15" s="9"/>
    </row>
    <row r="16" spans="1:7" ht="21.6" customHeight="1" x14ac:dyDescent="0.45">
      <c r="A16" s="9" t="s">
        <v>432</v>
      </c>
      <c r="B16" s="9" t="s">
        <v>351</v>
      </c>
      <c r="C16" s="10">
        <v>1</v>
      </c>
      <c r="D16" s="9" t="s">
        <v>335</v>
      </c>
      <c r="E16" s="10"/>
      <c r="F16" s="10">
        <f>C16*E16</f>
        <v>0</v>
      </c>
      <c r="G16" s="9"/>
    </row>
    <row r="17" spans="1:7" ht="21.6" customHeight="1" x14ac:dyDescent="0.45">
      <c r="A17" s="9" t="s">
        <v>433</v>
      </c>
      <c r="B17" s="9" t="s">
        <v>351</v>
      </c>
      <c r="C17" s="10">
        <v>1</v>
      </c>
      <c r="D17" s="9" t="s">
        <v>335</v>
      </c>
      <c r="E17" s="10"/>
      <c r="F17" s="10">
        <f>C17*E17</f>
        <v>0</v>
      </c>
      <c r="G17" s="9"/>
    </row>
    <row r="18" spans="1:7" ht="21.6" customHeight="1" x14ac:dyDescent="0.45">
      <c r="A18" s="9" t="s">
        <v>9</v>
      </c>
      <c r="B18" s="9"/>
      <c r="C18" s="10"/>
      <c r="D18" s="9"/>
      <c r="E18" s="10"/>
      <c r="F18" s="10">
        <f>SUM(F5:F17)</f>
        <v>0</v>
      </c>
      <c r="G18" s="9"/>
    </row>
    <row r="19" spans="1:7" x14ac:dyDescent="0.45">
      <c r="A19" s="9"/>
      <c r="B19" s="9"/>
      <c r="C19" s="9"/>
      <c r="D19" s="9"/>
      <c r="E19" s="9"/>
      <c r="F19" s="9"/>
      <c r="G19" s="9"/>
    </row>
  </sheetData>
  <phoneticPr fontId="3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C9FE-F0FB-499F-BE85-C9ED36D3A394}">
  <sheetPr codeName="Sheet72"/>
  <dimension ref="A1:G18"/>
  <sheetViews>
    <sheetView zoomScale="140" zoomScaleNormal="140" workbookViewId="0">
      <selection activeCell="A5" sqref="A5:G1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70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198</v>
      </c>
      <c r="B4" s="9"/>
      <c r="C4" s="10">
        <v>1</v>
      </c>
      <c r="D4" s="9" t="s">
        <v>8</v>
      </c>
      <c r="E4" s="10"/>
      <c r="F4" s="10">
        <f>F10</f>
        <v>0</v>
      </c>
      <c r="G4" s="9" t="s">
        <v>199</v>
      </c>
    </row>
    <row r="5" spans="1:7" ht="21.6" customHeight="1" x14ac:dyDescent="0.45">
      <c r="A5" s="9" t="s">
        <v>434</v>
      </c>
      <c r="B5" s="9" t="s">
        <v>435</v>
      </c>
      <c r="C5" s="10">
        <v>41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434</v>
      </c>
      <c r="B6" s="9" t="s">
        <v>435</v>
      </c>
      <c r="C6" s="10">
        <v>45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434</v>
      </c>
      <c r="B7" s="9" t="s">
        <v>436</v>
      </c>
      <c r="C7" s="10">
        <v>8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434</v>
      </c>
      <c r="B8" s="9" t="s">
        <v>435</v>
      </c>
      <c r="C8" s="10">
        <v>4</v>
      </c>
      <c r="D8" s="9" t="s">
        <v>132</v>
      </c>
      <c r="E8" s="10"/>
      <c r="F8" s="10">
        <f>C8*E8</f>
        <v>0</v>
      </c>
      <c r="G8" s="9"/>
    </row>
    <row r="9" spans="1:7" ht="21.6" customHeight="1" x14ac:dyDescent="0.45">
      <c r="A9" s="9" t="s">
        <v>434</v>
      </c>
      <c r="B9" s="9" t="s">
        <v>435</v>
      </c>
      <c r="C9" s="10">
        <v>4</v>
      </c>
      <c r="D9" s="9" t="s">
        <v>132</v>
      </c>
      <c r="E9" s="10"/>
      <c r="F9" s="10">
        <f>C9*E9</f>
        <v>0</v>
      </c>
      <c r="G9" s="9"/>
    </row>
    <row r="10" spans="1:7" ht="21.6" customHeight="1" x14ac:dyDescent="0.45">
      <c r="A10" s="9" t="s">
        <v>9</v>
      </c>
      <c r="B10" s="9"/>
      <c r="C10" s="10"/>
      <c r="D10" s="9"/>
      <c r="E10" s="10"/>
      <c r="F10" s="10">
        <f>SUM(F5:F9)</f>
        <v>0</v>
      </c>
      <c r="G10" s="9"/>
    </row>
    <row r="11" spans="1:7" ht="21.6" customHeight="1" x14ac:dyDescent="0.45">
      <c r="A11" s="9" t="s">
        <v>200</v>
      </c>
      <c r="B11" s="9"/>
      <c r="C11" s="10">
        <v>1</v>
      </c>
      <c r="D11" s="9" t="s">
        <v>8</v>
      </c>
      <c r="E11" s="10"/>
      <c r="F11" s="10">
        <f>F16</f>
        <v>0</v>
      </c>
      <c r="G11" s="9" t="s">
        <v>201</v>
      </c>
    </row>
    <row r="12" spans="1:7" ht="21.6" customHeight="1" x14ac:dyDescent="0.45">
      <c r="A12" s="9" t="s">
        <v>437</v>
      </c>
      <c r="B12" s="9" t="s">
        <v>351</v>
      </c>
      <c r="C12" s="10">
        <v>1</v>
      </c>
      <c r="D12" s="9" t="s">
        <v>379</v>
      </c>
      <c r="E12" s="10"/>
      <c r="F12" s="10">
        <f>C12*E12</f>
        <v>0</v>
      </c>
      <c r="G12" s="9"/>
    </row>
    <row r="13" spans="1:7" ht="21.6" customHeight="1" x14ac:dyDescent="0.45">
      <c r="A13" s="9" t="s">
        <v>437</v>
      </c>
      <c r="B13" s="9" t="s">
        <v>351</v>
      </c>
      <c r="C13" s="10">
        <v>1</v>
      </c>
      <c r="D13" s="9" t="s">
        <v>379</v>
      </c>
      <c r="E13" s="10"/>
      <c r="F13" s="10">
        <f>C13*E13</f>
        <v>0</v>
      </c>
      <c r="G13" s="9"/>
    </row>
    <row r="14" spans="1:7" ht="21.6" customHeight="1" x14ac:dyDescent="0.45">
      <c r="A14" s="9" t="s">
        <v>437</v>
      </c>
      <c r="B14" s="9" t="s">
        <v>351</v>
      </c>
      <c r="C14" s="10">
        <v>1</v>
      </c>
      <c r="D14" s="9" t="s">
        <v>379</v>
      </c>
      <c r="E14" s="10"/>
      <c r="F14" s="10">
        <f>C14*E14</f>
        <v>0</v>
      </c>
      <c r="G14" s="9"/>
    </row>
    <row r="15" spans="1:7" ht="21.6" customHeight="1" x14ac:dyDescent="0.45">
      <c r="A15" s="9" t="s">
        <v>437</v>
      </c>
      <c r="B15" s="9" t="s">
        <v>351</v>
      </c>
      <c r="C15" s="10">
        <v>1</v>
      </c>
      <c r="D15" s="9" t="s">
        <v>379</v>
      </c>
      <c r="E15" s="10"/>
      <c r="F15" s="10">
        <f>C15*E15</f>
        <v>0</v>
      </c>
      <c r="G15" s="9"/>
    </row>
    <row r="16" spans="1:7" ht="21.6" customHeight="1" x14ac:dyDescent="0.45">
      <c r="A16" s="9" t="s">
        <v>9</v>
      </c>
      <c r="B16" s="9"/>
      <c r="C16" s="10"/>
      <c r="D16" s="9"/>
      <c r="E16" s="10"/>
      <c r="F16" s="10">
        <f>SUM(F12:F15)</f>
        <v>0</v>
      </c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92DA-C491-42D5-ABC2-2909C45DF9DF}">
  <sheetPr codeName="Sheet73"/>
  <dimension ref="A1:G18"/>
  <sheetViews>
    <sheetView zoomScale="140" zoomScaleNormal="140" workbookViewId="0">
      <selection activeCell="A5" sqref="A5:G14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71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202</v>
      </c>
      <c r="B4" s="9"/>
      <c r="C4" s="10">
        <v>1</v>
      </c>
      <c r="D4" s="9" t="s">
        <v>8</v>
      </c>
      <c r="E4" s="10"/>
      <c r="F4" s="10">
        <f>F7</f>
        <v>0</v>
      </c>
      <c r="G4" s="9" t="s">
        <v>203</v>
      </c>
    </row>
    <row r="5" spans="1:7" ht="21.6" customHeight="1" x14ac:dyDescent="0.45">
      <c r="A5" s="9" t="s">
        <v>438</v>
      </c>
      <c r="B5" s="9" t="s">
        <v>439</v>
      </c>
      <c r="C5" s="10">
        <v>4</v>
      </c>
      <c r="D5" s="9" t="s">
        <v>137</v>
      </c>
      <c r="E5" s="10"/>
      <c r="F5" s="10">
        <f>C5*E5</f>
        <v>0</v>
      </c>
      <c r="G5" s="9"/>
    </row>
    <row r="6" spans="1:7" ht="21.6" customHeight="1" x14ac:dyDescent="0.45">
      <c r="A6" s="9" t="s">
        <v>438</v>
      </c>
      <c r="B6" s="9" t="s">
        <v>440</v>
      </c>
      <c r="C6" s="10">
        <v>8</v>
      </c>
      <c r="D6" s="9" t="s">
        <v>137</v>
      </c>
      <c r="E6" s="10"/>
      <c r="F6" s="10">
        <f>C6*E6</f>
        <v>0</v>
      </c>
      <c r="G6" s="9"/>
    </row>
    <row r="7" spans="1:7" ht="21.6" customHeight="1" x14ac:dyDescent="0.45">
      <c r="A7" s="9" t="s">
        <v>9</v>
      </c>
      <c r="B7" s="9"/>
      <c r="C7" s="10"/>
      <c r="D7" s="9"/>
      <c r="E7" s="10"/>
      <c r="F7" s="10">
        <f>SUM(F5:F6)</f>
        <v>0</v>
      </c>
      <c r="G7" s="9"/>
    </row>
    <row r="8" spans="1:7" ht="21.6" customHeight="1" x14ac:dyDescent="0.45">
      <c r="A8" s="9" t="s">
        <v>204</v>
      </c>
      <c r="B8" s="9"/>
      <c r="C8" s="10">
        <v>1</v>
      </c>
      <c r="D8" s="9" t="s">
        <v>8</v>
      </c>
      <c r="E8" s="10"/>
      <c r="F8" s="10">
        <f>F13</f>
        <v>0</v>
      </c>
      <c r="G8" s="9" t="s">
        <v>205</v>
      </c>
    </row>
    <row r="9" spans="1:7" ht="21.6" customHeight="1" x14ac:dyDescent="0.45">
      <c r="A9" s="9" t="s">
        <v>441</v>
      </c>
      <c r="B9" s="9" t="s">
        <v>442</v>
      </c>
      <c r="C9" s="10">
        <v>1</v>
      </c>
      <c r="D9" s="9" t="s">
        <v>137</v>
      </c>
      <c r="E9" s="10"/>
      <c r="F9" s="10">
        <f>C9*E9</f>
        <v>0</v>
      </c>
      <c r="G9" s="9"/>
    </row>
    <row r="10" spans="1:7" ht="21.6" customHeight="1" x14ac:dyDescent="0.45">
      <c r="A10" s="9" t="s">
        <v>438</v>
      </c>
      <c r="B10" s="9" t="s">
        <v>443</v>
      </c>
      <c r="C10" s="10">
        <v>1</v>
      </c>
      <c r="D10" s="9" t="s">
        <v>137</v>
      </c>
      <c r="E10" s="10"/>
      <c r="F10" s="10">
        <f>C10*E10</f>
        <v>0</v>
      </c>
      <c r="G10" s="9"/>
    </row>
    <row r="11" spans="1:7" ht="21.6" customHeight="1" x14ac:dyDescent="0.45">
      <c r="A11" s="9" t="s">
        <v>444</v>
      </c>
      <c r="B11" s="9" t="s">
        <v>445</v>
      </c>
      <c r="C11" s="10">
        <v>1</v>
      </c>
      <c r="D11" s="9" t="s">
        <v>137</v>
      </c>
      <c r="E11" s="10"/>
      <c r="F11" s="10">
        <f>C11*E11</f>
        <v>0</v>
      </c>
      <c r="G11" s="9"/>
    </row>
    <row r="12" spans="1:7" ht="21.6" customHeight="1" x14ac:dyDescent="0.45">
      <c r="A12" s="9" t="s">
        <v>446</v>
      </c>
      <c r="B12" s="9" t="s">
        <v>447</v>
      </c>
      <c r="C12" s="10">
        <v>1</v>
      </c>
      <c r="D12" s="9" t="s">
        <v>137</v>
      </c>
      <c r="E12" s="10"/>
      <c r="F12" s="10">
        <f>C12*E12</f>
        <v>0</v>
      </c>
      <c r="G12" s="9"/>
    </row>
    <row r="13" spans="1:7" ht="21.6" customHeight="1" x14ac:dyDescent="0.45">
      <c r="A13" s="9" t="s">
        <v>9</v>
      </c>
      <c r="B13" s="9"/>
      <c r="C13" s="10"/>
      <c r="D13" s="9"/>
      <c r="E13" s="10"/>
      <c r="F13" s="10">
        <f>SUM(F9:F12)</f>
        <v>0</v>
      </c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75A0-674B-4230-9B02-1523B939AABF}">
  <sheetPr codeName="Sheet74"/>
  <dimension ref="A1:G18"/>
  <sheetViews>
    <sheetView zoomScale="140" zoomScaleNormal="140" workbookViewId="0">
      <selection activeCell="A5" sqref="A5:G1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72</v>
      </c>
    </row>
    <row r="2" spans="1:7" ht="10.199999999999999" customHeight="1" x14ac:dyDescent="0.45">
      <c r="A2" s="4" t="s">
        <v>55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206</v>
      </c>
      <c r="B4" s="9"/>
      <c r="C4" s="10">
        <v>1</v>
      </c>
      <c r="D4" s="9" t="s">
        <v>8</v>
      </c>
      <c r="E4" s="10"/>
      <c r="F4" s="10">
        <f t="shared" ref="F4:F5" si="0">C4*E4</f>
        <v>0</v>
      </c>
      <c r="G4" s="9" t="s">
        <v>207</v>
      </c>
    </row>
    <row r="5" spans="1:7" ht="21.6" customHeight="1" x14ac:dyDescent="0.45">
      <c r="A5" s="9" t="s">
        <v>448</v>
      </c>
      <c r="B5" s="9"/>
      <c r="C5" s="10">
        <v>1</v>
      </c>
      <c r="D5" s="9" t="s">
        <v>8</v>
      </c>
      <c r="E5" s="10"/>
      <c r="F5" s="10">
        <f t="shared" si="0"/>
        <v>0</v>
      </c>
      <c r="G5" s="9"/>
    </row>
    <row r="6" spans="1:7" ht="21.6" customHeight="1" x14ac:dyDescent="0.45">
      <c r="A6" s="9" t="s">
        <v>449</v>
      </c>
      <c r="B6" s="9" t="s">
        <v>450</v>
      </c>
      <c r="C6" s="10">
        <v>12</v>
      </c>
      <c r="D6" s="9" t="s">
        <v>335</v>
      </c>
      <c r="E6" s="10"/>
      <c r="F6" s="10">
        <f>C6*E6</f>
        <v>0</v>
      </c>
      <c r="G6" s="9"/>
    </row>
    <row r="7" spans="1:7" ht="21.6" customHeight="1" x14ac:dyDescent="0.45">
      <c r="A7" s="9" t="s">
        <v>449</v>
      </c>
      <c r="B7" s="9" t="s">
        <v>451</v>
      </c>
      <c r="C7" s="10">
        <v>15</v>
      </c>
      <c r="D7" s="9" t="s">
        <v>335</v>
      </c>
      <c r="E7" s="10"/>
      <c r="F7" s="10">
        <f>C7*E7</f>
        <v>0</v>
      </c>
      <c r="G7" s="9"/>
    </row>
    <row r="8" spans="1:7" ht="21.6" customHeight="1" x14ac:dyDescent="0.45">
      <c r="A8" s="9" t="s">
        <v>449</v>
      </c>
      <c r="B8" s="9" t="s">
        <v>452</v>
      </c>
      <c r="C8" s="10">
        <v>3</v>
      </c>
      <c r="D8" s="9" t="s">
        <v>335</v>
      </c>
      <c r="E8" s="10"/>
      <c r="F8" s="10">
        <f>C8*E8</f>
        <v>0</v>
      </c>
      <c r="G8" s="9"/>
    </row>
    <row r="9" spans="1:7" ht="21.6" customHeight="1" x14ac:dyDescent="0.45">
      <c r="A9" s="9" t="s">
        <v>449</v>
      </c>
      <c r="B9" s="9" t="s">
        <v>453</v>
      </c>
      <c r="C9" s="10">
        <v>2</v>
      </c>
      <c r="D9" s="9" t="s">
        <v>335</v>
      </c>
      <c r="E9" s="10"/>
      <c r="F9" s="10">
        <f>C9*E9</f>
        <v>0</v>
      </c>
      <c r="G9" s="9"/>
    </row>
    <row r="10" spans="1:7" ht="21.6" customHeight="1" x14ac:dyDescent="0.45">
      <c r="A10" s="9" t="s">
        <v>454</v>
      </c>
      <c r="B10" s="9" t="s">
        <v>351</v>
      </c>
      <c r="C10" s="10">
        <v>14.5</v>
      </c>
      <c r="D10" s="9" t="s">
        <v>132</v>
      </c>
      <c r="E10" s="10"/>
      <c r="F10" s="10">
        <f>C10*E10</f>
        <v>0</v>
      </c>
      <c r="G10" s="9"/>
    </row>
    <row r="11" spans="1:7" ht="21.6" customHeight="1" x14ac:dyDescent="0.45">
      <c r="A11" s="9" t="s">
        <v>454</v>
      </c>
      <c r="B11" s="9" t="s">
        <v>351</v>
      </c>
      <c r="C11" s="10">
        <v>59</v>
      </c>
      <c r="D11" s="9" t="s">
        <v>132</v>
      </c>
      <c r="E11" s="10"/>
      <c r="F11" s="10">
        <f>C11*E11</f>
        <v>0</v>
      </c>
      <c r="G11" s="9"/>
    </row>
    <row r="12" spans="1:7" ht="21.6" customHeight="1" x14ac:dyDescent="0.45">
      <c r="A12" s="9" t="s">
        <v>455</v>
      </c>
      <c r="B12" s="9"/>
      <c r="C12" s="10">
        <v>3</v>
      </c>
      <c r="D12" s="9" t="s">
        <v>325</v>
      </c>
      <c r="E12" s="10"/>
      <c r="F12" s="10">
        <f>C12*E12</f>
        <v>0</v>
      </c>
      <c r="G12" s="9"/>
    </row>
    <row r="13" spans="1:7" ht="21.6" customHeight="1" x14ac:dyDescent="0.45">
      <c r="A13" s="9" t="s">
        <v>456</v>
      </c>
      <c r="B13" s="9"/>
      <c r="C13" s="10">
        <v>1</v>
      </c>
      <c r="D13" s="9" t="s">
        <v>8</v>
      </c>
      <c r="E13" s="10"/>
      <c r="F13" s="10">
        <f>F15</f>
        <v>0</v>
      </c>
      <c r="G13" s="9"/>
    </row>
    <row r="14" spans="1:7" ht="21.6" customHeight="1" x14ac:dyDescent="0.45">
      <c r="A14" s="9" t="s">
        <v>457</v>
      </c>
      <c r="B14" s="9"/>
      <c r="C14" s="10">
        <v>4</v>
      </c>
      <c r="D14" s="9" t="s">
        <v>137</v>
      </c>
      <c r="E14" s="10"/>
      <c r="F14" s="10">
        <f>C14*E14</f>
        <v>0</v>
      </c>
      <c r="G14" s="9"/>
    </row>
    <row r="15" spans="1:7" ht="21.6" customHeight="1" x14ac:dyDescent="0.45">
      <c r="A15" s="9" t="s">
        <v>9</v>
      </c>
      <c r="B15" s="9"/>
      <c r="C15" s="10"/>
      <c r="D15" s="9"/>
      <c r="E15" s="10"/>
      <c r="F15" s="10">
        <f>SUM(F14:F14)</f>
        <v>0</v>
      </c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A159-B4CE-4A56-BB8B-34A9CF417D9F}">
  <sheetPr codeName="Sheet75"/>
  <dimension ref="A1:G18"/>
  <sheetViews>
    <sheetView zoomScale="140" zoomScaleNormal="140" workbookViewId="0">
      <selection activeCell="A5" sqref="A5:G1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73</v>
      </c>
    </row>
    <row r="2" spans="1:7" ht="10.199999999999999" customHeight="1" x14ac:dyDescent="0.45">
      <c r="A2" s="4" t="s">
        <v>58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182</v>
      </c>
      <c r="B4" s="9"/>
      <c r="C4" s="10">
        <v>1</v>
      </c>
      <c r="D4" s="9" t="s">
        <v>8</v>
      </c>
      <c r="E4" s="10"/>
      <c r="F4" s="10">
        <f>F15</f>
        <v>0</v>
      </c>
      <c r="G4" s="9" t="s">
        <v>208</v>
      </c>
    </row>
    <row r="5" spans="1:7" ht="21.6" customHeight="1" x14ac:dyDescent="0.45">
      <c r="A5" s="9" t="s">
        <v>458</v>
      </c>
      <c r="B5" s="9" t="s">
        <v>459</v>
      </c>
      <c r="C5" s="10"/>
      <c r="D5" s="9"/>
      <c r="E5" s="10"/>
      <c r="F5" s="10"/>
      <c r="G5" s="9"/>
    </row>
    <row r="6" spans="1:7" ht="21.6" customHeight="1" x14ac:dyDescent="0.45">
      <c r="A6" s="9" t="s">
        <v>460</v>
      </c>
      <c r="B6" s="9" t="s">
        <v>351</v>
      </c>
      <c r="C6" s="10">
        <v>32</v>
      </c>
      <c r="D6" s="9" t="s">
        <v>376</v>
      </c>
      <c r="E6" s="10"/>
      <c r="F6" s="10">
        <f>C6*E6</f>
        <v>0</v>
      </c>
      <c r="G6" s="9"/>
    </row>
    <row r="7" spans="1:7" ht="21.6" customHeight="1" x14ac:dyDescent="0.45">
      <c r="A7" s="9" t="s">
        <v>461</v>
      </c>
      <c r="B7" s="9" t="s">
        <v>462</v>
      </c>
      <c r="C7" s="10">
        <v>32</v>
      </c>
      <c r="D7" s="9" t="s">
        <v>335</v>
      </c>
      <c r="E7" s="10"/>
      <c r="F7" s="10">
        <f>C7*E7</f>
        <v>0</v>
      </c>
      <c r="G7" s="9"/>
    </row>
    <row r="8" spans="1:7" ht="21.6" customHeight="1" x14ac:dyDescent="0.45">
      <c r="A8" s="9" t="s">
        <v>463</v>
      </c>
      <c r="B8" s="9" t="s">
        <v>351</v>
      </c>
      <c r="C8" s="10">
        <v>32</v>
      </c>
      <c r="D8" s="9" t="s">
        <v>464</v>
      </c>
      <c r="E8" s="10"/>
      <c r="F8" s="10">
        <f>C8*E8</f>
        <v>0</v>
      </c>
      <c r="G8" s="9"/>
    </row>
    <row r="9" spans="1:7" ht="21.6" customHeight="1" x14ac:dyDescent="0.45">
      <c r="A9" s="9" t="s">
        <v>465</v>
      </c>
      <c r="B9" s="9" t="s">
        <v>351</v>
      </c>
      <c r="C9" s="10">
        <v>64</v>
      </c>
      <c r="D9" s="9" t="s">
        <v>335</v>
      </c>
      <c r="E9" s="10"/>
      <c r="F9" s="10">
        <f>C9*E9</f>
        <v>0</v>
      </c>
      <c r="G9" s="9"/>
    </row>
    <row r="10" spans="1:7" ht="21.6" customHeight="1" x14ac:dyDescent="0.45">
      <c r="A10" s="9" t="s">
        <v>466</v>
      </c>
      <c r="B10" s="9" t="s">
        <v>351</v>
      </c>
      <c r="C10" s="10">
        <v>32</v>
      </c>
      <c r="D10" s="9" t="s">
        <v>335</v>
      </c>
      <c r="E10" s="10"/>
      <c r="F10" s="10">
        <f>C10*E10</f>
        <v>0</v>
      </c>
      <c r="G10" s="9"/>
    </row>
    <row r="11" spans="1:7" ht="21.6" customHeight="1" x14ac:dyDescent="0.45">
      <c r="A11" s="9" t="s">
        <v>467</v>
      </c>
      <c r="B11" s="9" t="s">
        <v>351</v>
      </c>
      <c r="C11" s="10">
        <v>32</v>
      </c>
      <c r="D11" s="9" t="s">
        <v>321</v>
      </c>
      <c r="E11" s="10"/>
      <c r="F11" s="10">
        <f>C11*E11</f>
        <v>0</v>
      </c>
      <c r="G11" s="9"/>
    </row>
    <row r="12" spans="1:7" ht="21.6" customHeight="1" x14ac:dyDescent="0.45">
      <c r="A12" s="9" t="s">
        <v>468</v>
      </c>
      <c r="B12" s="9" t="s">
        <v>351</v>
      </c>
      <c r="C12" s="10">
        <v>96</v>
      </c>
      <c r="D12" s="9" t="s">
        <v>335</v>
      </c>
      <c r="E12" s="10"/>
      <c r="F12" s="10">
        <f>C12*E12</f>
        <v>0</v>
      </c>
      <c r="G12" s="9"/>
    </row>
    <row r="13" spans="1:7" ht="21.6" customHeight="1" x14ac:dyDescent="0.45">
      <c r="A13" s="9" t="s">
        <v>469</v>
      </c>
      <c r="B13" s="9" t="s">
        <v>351</v>
      </c>
      <c r="C13" s="10">
        <v>32</v>
      </c>
      <c r="D13" s="9" t="s">
        <v>321</v>
      </c>
      <c r="E13" s="10"/>
      <c r="F13" s="10">
        <f>C13*E13</f>
        <v>0</v>
      </c>
      <c r="G13" s="9"/>
    </row>
    <row r="14" spans="1:7" ht="21.6" customHeight="1" x14ac:dyDescent="0.45">
      <c r="A14" s="9" t="s">
        <v>413</v>
      </c>
      <c r="B14" s="9" t="s">
        <v>351</v>
      </c>
      <c r="C14" s="10">
        <v>32</v>
      </c>
      <c r="D14" s="9" t="s">
        <v>321</v>
      </c>
      <c r="E14" s="10"/>
      <c r="F14" s="10">
        <f>C14*E14</f>
        <v>0</v>
      </c>
      <c r="G14" s="9"/>
    </row>
    <row r="15" spans="1:7" ht="21.6" customHeight="1" x14ac:dyDescent="0.45">
      <c r="A15" s="9" t="s">
        <v>9</v>
      </c>
      <c r="B15" s="9"/>
      <c r="C15" s="10"/>
      <c r="D15" s="9"/>
      <c r="E15" s="10"/>
      <c r="F15" s="10">
        <f>SUM(F5:F14)</f>
        <v>0</v>
      </c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7582-299F-4A73-B21B-2795418D84DF}">
  <sheetPr codeName="Sheet76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74</v>
      </c>
    </row>
    <row r="2" spans="1:7" ht="10.199999999999999" customHeight="1" x14ac:dyDescent="0.45">
      <c r="A2" s="4" t="s">
        <v>58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196</v>
      </c>
      <c r="B4" s="9"/>
      <c r="C4" s="10">
        <v>1</v>
      </c>
      <c r="D4" s="9" t="s">
        <v>8</v>
      </c>
      <c r="E4" s="10"/>
      <c r="F4" s="10">
        <f>F9</f>
        <v>0</v>
      </c>
      <c r="G4" s="9" t="s">
        <v>209</v>
      </c>
    </row>
    <row r="5" spans="1:7" ht="21.6" customHeight="1" x14ac:dyDescent="0.45">
      <c r="A5" s="9" t="s">
        <v>419</v>
      </c>
      <c r="B5" s="9" t="s">
        <v>470</v>
      </c>
      <c r="C5" s="10">
        <v>55</v>
      </c>
      <c r="D5" s="9" t="s">
        <v>132</v>
      </c>
      <c r="E5" s="10"/>
      <c r="F5" s="10">
        <f>C5*E5</f>
        <v>0</v>
      </c>
      <c r="G5" s="9"/>
    </row>
    <row r="6" spans="1:7" ht="21.6" customHeight="1" x14ac:dyDescent="0.45">
      <c r="A6" s="9" t="s">
        <v>427</v>
      </c>
      <c r="B6" s="9" t="s">
        <v>471</v>
      </c>
      <c r="C6" s="10">
        <v>51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427</v>
      </c>
      <c r="B7" s="9" t="s">
        <v>472</v>
      </c>
      <c r="C7" s="10">
        <v>70</v>
      </c>
      <c r="D7" s="9" t="s">
        <v>132</v>
      </c>
      <c r="E7" s="10"/>
      <c r="F7" s="10">
        <f>C7*E7</f>
        <v>0</v>
      </c>
      <c r="G7" s="9"/>
    </row>
    <row r="8" spans="1:7" ht="21.6" customHeight="1" x14ac:dyDescent="0.45">
      <c r="A8" s="9" t="s">
        <v>473</v>
      </c>
      <c r="B8" s="9" t="s">
        <v>474</v>
      </c>
      <c r="C8" s="10">
        <v>43</v>
      </c>
      <c r="D8" s="9" t="s">
        <v>132</v>
      </c>
      <c r="E8" s="10"/>
      <c r="F8" s="10">
        <f>C8*E8</f>
        <v>0</v>
      </c>
      <c r="G8" s="9"/>
    </row>
    <row r="9" spans="1:7" ht="21.6" customHeight="1" x14ac:dyDescent="0.45">
      <c r="A9" s="9" t="s">
        <v>9</v>
      </c>
      <c r="B9" s="9"/>
      <c r="C9" s="10"/>
      <c r="D9" s="9"/>
      <c r="E9" s="10"/>
      <c r="F9" s="10">
        <f>SUM(F5:F8)</f>
        <v>0</v>
      </c>
      <c r="G9" s="9"/>
    </row>
    <row r="10" spans="1:7" ht="21.6" customHeight="1" x14ac:dyDescent="0.45">
      <c r="A10" s="9" t="s">
        <v>198</v>
      </c>
      <c r="B10" s="9"/>
      <c r="C10" s="10">
        <v>1</v>
      </c>
      <c r="D10" s="9" t="s">
        <v>8</v>
      </c>
      <c r="E10" s="10"/>
      <c r="F10" s="10">
        <f>F12</f>
        <v>0</v>
      </c>
      <c r="G10" s="9" t="s">
        <v>210</v>
      </c>
    </row>
    <row r="11" spans="1:7" ht="21.6" customHeight="1" x14ac:dyDescent="0.45">
      <c r="A11" s="9" t="s">
        <v>434</v>
      </c>
      <c r="B11" s="9" t="s">
        <v>475</v>
      </c>
      <c r="C11" s="10">
        <v>55</v>
      </c>
      <c r="D11" s="9" t="s">
        <v>132</v>
      </c>
      <c r="E11" s="10"/>
      <c r="F11" s="10">
        <f>C11*E11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SUM(F11:F11)</f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744E-F172-46C8-9E69-C143699F79BC}">
  <sheetPr codeName="Sheet77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406</v>
      </c>
      <c r="G1" s="3">
        <v>75</v>
      </c>
    </row>
    <row r="2" spans="1:7" ht="10.199999999999999" customHeight="1" x14ac:dyDescent="0.45">
      <c r="A2" s="4" t="s">
        <v>58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202</v>
      </c>
      <c r="B4" s="9"/>
      <c r="C4" s="10">
        <v>1</v>
      </c>
      <c r="D4" s="9" t="s">
        <v>8</v>
      </c>
      <c r="E4" s="10"/>
      <c r="F4" s="10">
        <f>F12</f>
        <v>0</v>
      </c>
      <c r="G4" s="9" t="s">
        <v>211</v>
      </c>
    </row>
    <row r="5" spans="1:7" ht="21.6" customHeight="1" x14ac:dyDescent="0.45">
      <c r="A5" s="9" t="s">
        <v>441</v>
      </c>
      <c r="B5" s="9" t="s">
        <v>476</v>
      </c>
      <c r="C5" s="10">
        <v>32</v>
      </c>
      <c r="D5" s="9" t="s">
        <v>137</v>
      </c>
      <c r="E5" s="10"/>
      <c r="F5" s="10">
        <f>C5*E5</f>
        <v>0</v>
      </c>
      <c r="G5" s="9"/>
    </row>
    <row r="6" spans="1:7" ht="21.6" customHeight="1" x14ac:dyDescent="0.45">
      <c r="A6" s="9" t="s">
        <v>441</v>
      </c>
      <c r="B6" s="9" t="s">
        <v>477</v>
      </c>
      <c r="C6" s="10">
        <v>7</v>
      </c>
      <c r="D6" s="9" t="s">
        <v>137</v>
      </c>
      <c r="E6" s="10"/>
      <c r="F6" s="10">
        <f>C6*E6</f>
        <v>0</v>
      </c>
      <c r="G6" s="9"/>
    </row>
    <row r="7" spans="1:7" ht="21.6" customHeight="1" x14ac:dyDescent="0.45">
      <c r="A7" s="9" t="s">
        <v>438</v>
      </c>
      <c r="B7" s="9" t="s">
        <v>478</v>
      </c>
      <c r="C7" s="10">
        <v>32</v>
      </c>
      <c r="D7" s="9" t="s">
        <v>137</v>
      </c>
      <c r="E7" s="10"/>
      <c r="F7" s="10">
        <f>C7*E7</f>
        <v>0</v>
      </c>
      <c r="G7" s="9"/>
    </row>
    <row r="8" spans="1:7" ht="21.6" customHeight="1" x14ac:dyDescent="0.45">
      <c r="A8" s="9" t="s">
        <v>438</v>
      </c>
      <c r="B8" s="9" t="s">
        <v>439</v>
      </c>
      <c r="C8" s="10">
        <v>8</v>
      </c>
      <c r="D8" s="9" t="s">
        <v>137</v>
      </c>
      <c r="E8" s="10"/>
      <c r="F8" s="10">
        <f>C8*E8</f>
        <v>0</v>
      </c>
      <c r="G8" s="9"/>
    </row>
    <row r="9" spans="1:7" ht="21.6" customHeight="1" x14ac:dyDescent="0.45">
      <c r="A9" s="9" t="s">
        <v>438</v>
      </c>
      <c r="B9" s="9" t="s">
        <v>440</v>
      </c>
      <c r="C9" s="10">
        <v>40</v>
      </c>
      <c r="D9" s="9" t="s">
        <v>137</v>
      </c>
      <c r="E9" s="10"/>
      <c r="F9" s="10">
        <f>C9*E9</f>
        <v>0</v>
      </c>
      <c r="G9" s="9"/>
    </row>
    <row r="10" spans="1:7" ht="21.6" customHeight="1" x14ac:dyDescent="0.45">
      <c r="A10" s="9" t="s">
        <v>441</v>
      </c>
      <c r="B10" s="9" t="s">
        <v>479</v>
      </c>
      <c r="C10" s="10">
        <v>32</v>
      </c>
      <c r="D10" s="9" t="s">
        <v>137</v>
      </c>
      <c r="E10" s="10"/>
      <c r="F10" s="10">
        <f>C10*E10</f>
        <v>0</v>
      </c>
      <c r="G10" s="9"/>
    </row>
    <row r="11" spans="1:7" ht="21.6" customHeight="1" x14ac:dyDescent="0.45">
      <c r="A11" s="9" t="s">
        <v>441</v>
      </c>
      <c r="B11" s="9" t="s">
        <v>478</v>
      </c>
      <c r="C11" s="10">
        <v>4</v>
      </c>
      <c r="D11" s="9" t="s">
        <v>137</v>
      </c>
      <c r="E11" s="10"/>
      <c r="F11" s="10">
        <f>C11*E11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SUM(F5:F11)</f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EB6F-603E-46E8-906F-DDE48D526CA9}">
  <sheetPr codeName="Sheet78"/>
  <dimension ref="A1:G18"/>
  <sheetViews>
    <sheetView zoomScale="140" zoomScaleNormal="140" workbookViewId="0">
      <selection activeCell="A5" sqref="A5:G1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480</v>
      </c>
      <c r="G1" s="3">
        <v>76</v>
      </c>
    </row>
    <row r="2" spans="1:7" ht="10.199999999999999" customHeight="1" x14ac:dyDescent="0.45">
      <c r="A2" s="4" t="s">
        <v>60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214</v>
      </c>
      <c r="B4" s="9" t="s">
        <v>215</v>
      </c>
      <c r="C4" s="10">
        <v>1</v>
      </c>
      <c r="D4" s="9" t="s">
        <v>8</v>
      </c>
      <c r="E4" s="10"/>
      <c r="F4" s="10">
        <f>C4*E4</f>
        <v>0</v>
      </c>
      <c r="G4" s="9" t="s">
        <v>216</v>
      </c>
    </row>
    <row r="5" spans="1:7" ht="21.6" customHeight="1" x14ac:dyDescent="0.45">
      <c r="A5" s="9" t="s">
        <v>481</v>
      </c>
      <c r="B5" s="9"/>
      <c r="C5" s="10"/>
      <c r="D5" s="9"/>
      <c r="E5" s="10"/>
      <c r="F5" s="10"/>
      <c r="G5" s="9"/>
    </row>
    <row r="6" spans="1:7" ht="21.6" customHeight="1" x14ac:dyDescent="0.45">
      <c r="A6" s="9" t="s">
        <v>482</v>
      </c>
      <c r="B6" s="9" t="s">
        <v>483</v>
      </c>
      <c r="C6" s="10">
        <v>6</v>
      </c>
      <c r="D6" s="9" t="s">
        <v>321</v>
      </c>
      <c r="E6" s="10"/>
      <c r="F6" s="10">
        <f>C6*E6</f>
        <v>0</v>
      </c>
      <c r="G6" s="9"/>
    </row>
    <row r="7" spans="1:7" ht="21.6" customHeight="1" x14ac:dyDescent="0.45">
      <c r="A7" s="9" t="s">
        <v>484</v>
      </c>
      <c r="B7" s="9"/>
      <c r="C7" s="10">
        <v>1</v>
      </c>
      <c r="D7" s="9" t="s">
        <v>137</v>
      </c>
      <c r="E7" s="10"/>
      <c r="F7" s="10">
        <f>C7*E7</f>
        <v>0</v>
      </c>
      <c r="G7" s="9"/>
    </row>
    <row r="8" spans="1:7" ht="21.6" customHeight="1" x14ac:dyDescent="0.45">
      <c r="A8" s="9" t="s">
        <v>485</v>
      </c>
      <c r="B8" s="9"/>
      <c r="C8" s="10">
        <v>1</v>
      </c>
      <c r="D8" s="9" t="s">
        <v>8</v>
      </c>
      <c r="E8" s="10"/>
      <c r="F8" s="10">
        <f>F9</f>
        <v>0</v>
      </c>
      <c r="G8" s="9"/>
    </row>
    <row r="9" spans="1:7" ht="21.6" customHeight="1" x14ac:dyDescent="0.45">
      <c r="A9" s="9" t="s">
        <v>486</v>
      </c>
      <c r="B9" s="9"/>
      <c r="C9" s="10"/>
      <c r="D9" s="9"/>
      <c r="E9" s="10"/>
      <c r="F9" s="10">
        <v>0</v>
      </c>
      <c r="G9" s="9"/>
    </row>
    <row r="10" spans="1:7" ht="21.6" customHeight="1" x14ac:dyDescent="0.45">
      <c r="A10" s="9" t="s">
        <v>487</v>
      </c>
      <c r="B10" s="9"/>
      <c r="C10" s="10"/>
      <c r="D10" s="9"/>
      <c r="E10" s="10"/>
      <c r="F10" s="10"/>
      <c r="G10" s="9"/>
    </row>
    <row r="11" spans="1:7" ht="21.6" customHeight="1" x14ac:dyDescent="0.45">
      <c r="A11" s="9" t="s">
        <v>488</v>
      </c>
      <c r="B11" s="9" t="s">
        <v>489</v>
      </c>
      <c r="C11" s="10">
        <v>1379</v>
      </c>
      <c r="D11" s="9" t="s">
        <v>86</v>
      </c>
      <c r="E11" s="10"/>
      <c r="F11" s="10">
        <f>C11*E11</f>
        <v>0</v>
      </c>
      <c r="G11" s="9"/>
    </row>
    <row r="12" spans="1:7" ht="21.6" customHeight="1" x14ac:dyDescent="0.45">
      <c r="A12" s="9" t="s">
        <v>490</v>
      </c>
      <c r="B12" s="9" t="s">
        <v>491</v>
      </c>
      <c r="C12" s="10">
        <v>791</v>
      </c>
      <c r="D12" s="9" t="s">
        <v>86</v>
      </c>
      <c r="E12" s="10"/>
      <c r="F12" s="10">
        <f>C12*E12</f>
        <v>0</v>
      </c>
      <c r="G12" s="9"/>
    </row>
    <row r="13" spans="1:7" ht="21.6" customHeight="1" x14ac:dyDescent="0.45">
      <c r="A13" s="9" t="s">
        <v>492</v>
      </c>
      <c r="B13" s="9" t="s">
        <v>489</v>
      </c>
      <c r="C13" s="10">
        <v>113</v>
      </c>
      <c r="D13" s="9" t="s">
        <v>86</v>
      </c>
      <c r="E13" s="10"/>
      <c r="F13" s="10">
        <f>C13*E13</f>
        <v>0</v>
      </c>
      <c r="G13" s="9"/>
    </row>
    <row r="14" spans="1:7" ht="21.6" customHeight="1" x14ac:dyDescent="0.45">
      <c r="A14" s="9" t="s">
        <v>486</v>
      </c>
      <c r="B14" s="9"/>
      <c r="C14" s="10"/>
      <c r="D14" s="9"/>
      <c r="E14" s="10"/>
      <c r="F14" s="10">
        <f>SUM(F10:F13)</f>
        <v>0</v>
      </c>
      <c r="G14" s="9"/>
    </row>
    <row r="15" spans="1:7" ht="21.6" customHeight="1" x14ac:dyDescent="0.45">
      <c r="A15" s="9" t="s">
        <v>493</v>
      </c>
      <c r="B15" s="9"/>
      <c r="C15" s="10"/>
      <c r="D15" s="9"/>
      <c r="E15" s="10"/>
      <c r="F15" s="10"/>
      <c r="G15" s="9"/>
    </row>
    <row r="16" spans="1:7" ht="21.6" customHeight="1" x14ac:dyDescent="0.45">
      <c r="A16" s="9" t="s">
        <v>494</v>
      </c>
      <c r="B16" s="9" t="s">
        <v>495</v>
      </c>
      <c r="C16" s="10">
        <v>3</v>
      </c>
      <c r="D16" s="9" t="s">
        <v>496</v>
      </c>
      <c r="E16" s="10"/>
      <c r="F16" s="10">
        <f>C16*E16</f>
        <v>0</v>
      </c>
      <c r="G16" s="9"/>
    </row>
    <row r="17" spans="1:7" ht="21.6" customHeight="1" x14ac:dyDescent="0.45">
      <c r="A17" s="9" t="s">
        <v>497</v>
      </c>
      <c r="B17" s="9" t="s">
        <v>498</v>
      </c>
      <c r="C17" s="10">
        <v>3</v>
      </c>
      <c r="D17" s="9" t="s">
        <v>496</v>
      </c>
      <c r="E17" s="10"/>
      <c r="F17" s="10">
        <f>C17*E17</f>
        <v>0</v>
      </c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E7D4-6C64-45BD-8AB2-25A596DD9146}">
  <sheetPr codeName="Sheet79"/>
  <dimension ref="A1:G18"/>
  <sheetViews>
    <sheetView zoomScale="140" zoomScaleNormal="140" workbookViewId="0">
      <selection activeCell="A5" sqref="A5:G18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480</v>
      </c>
      <c r="G1" s="3">
        <v>77</v>
      </c>
    </row>
    <row r="2" spans="1:7" ht="10.199999999999999" customHeight="1" x14ac:dyDescent="0.45">
      <c r="A2" s="4" t="s">
        <v>60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214</v>
      </c>
      <c r="B4" s="9" t="s">
        <v>215</v>
      </c>
      <c r="C4" s="10">
        <v>1</v>
      </c>
      <c r="D4" s="9" t="s">
        <v>8</v>
      </c>
      <c r="E4" s="10"/>
      <c r="F4" s="10">
        <f>F5</f>
        <v>0</v>
      </c>
      <c r="G4" s="9" t="s">
        <v>216</v>
      </c>
    </row>
    <row r="5" spans="1:7" ht="21.6" customHeight="1" x14ac:dyDescent="0.45">
      <c r="A5" s="9" t="s">
        <v>486</v>
      </c>
      <c r="B5" s="9"/>
      <c r="C5" s="10"/>
      <c r="D5" s="9"/>
      <c r="E5" s="10"/>
      <c r="F5" s="10">
        <v>0</v>
      </c>
      <c r="G5" s="9"/>
    </row>
    <row r="6" spans="1:7" ht="21.6" customHeight="1" x14ac:dyDescent="0.45">
      <c r="A6" s="9" t="s">
        <v>499</v>
      </c>
      <c r="B6" s="9"/>
      <c r="C6" s="10"/>
      <c r="D6" s="9"/>
      <c r="E6" s="10"/>
      <c r="F6" s="10"/>
      <c r="G6" s="9"/>
    </row>
    <row r="7" spans="1:7" ht="21.6" customHeight="1" x14ac:dyDescent="0.45">
      <c r="A7" s="9" t="s">
        <v>500</v>
      </c>
      <c r="B7" s="9"/>
      <c r="C7" s="10">
        <v>3042</v>
      </c>
      <c r="D7" s="9" t="s">
        <v>86</v>
      </c>
      <c r="E7" s="10"/>
      <c r="F7" s="10">
        <f>C7*E7</f>
        <v>0</v>
      </c>
      <c r="G7" s="9"/>
    </row>
    <row r="8" spans="1:7" ht="21.6" customHeight="1" x14ac:dyDescent="0.45">
      <c r="A8" s="9" t="s">
        <v>501</v>
      </c>
      <c r="B8" s="9"/>
      <c r="C8" s="10">
        <v>3042</v>
      </c>
      <c r="D8" s="9" t="s">
        <v>86</v>
      </c>
      <c r="E8" s="10"/>
      <c r="F8" s="10">
        <f>C8*E8</f>
        <v>0</v>
      </c>
      <c r="G8" s="9"/>
    </row>
    <row r="9" spans="1:7" ht="21.6" customHeight="1" x14ac:dyDescent="0.45">
      <c r="A9" s="9" t="s">
        <v>486</v>
      </c>
      <c r="B9" s="9"/>
      <c r="C9" s="10"/>
      <c r="D9" s="9"/>
      <c r="E9" s="10"/>
      <c r="F9" s="10">
        <f>SUM(F6:F8)</f>
        <v>0</v>
      </c>
      <c r="G9" s="9"/>
    </row>
    <row r="10" spans="1:7" ht="21.6" customHeight="1" x14ac:dyDescent="0.45">
      <c r="A10" s="9" t="s">
        <v>502</v>
      </c>
      <c r="B10" s="9"/>
      <c r="C10" s="10"/>
      <c r="D10" s="9"/>
      <c r="E10" s="10"/>
      <c r="F10" s="10"/>
      <c r="G10" s="9"/>
    </row>
    <row r="11" spans="1:7" ht="21.6" customHeight="1" x14ac:dyDescent="0.45">
      <c r="A11" s="9" t="s">
        <v>503</v>
      </c>
      <c r="B11" s="9" t="s">
        <v>504</v>
      </c>
      <c r="C11" s="10">
        <v>2684</v>
      </c>
      <c r="D11" s="9" t="s">
        <v>86</v>
      </c>
      <c r="E11" s="10"/>
      <c r="F11" s="10">
        <f>C11*E11</f>
        <v>0</v>
      </c>
      <c r="G11" s="9"/>
    </row>
    <row r="12" spans="1:7" ht="21.6" customHeight="1" x14ac:dyDescent="0.45">
      <c r="A12" s="9" t="s">
        <v>505</v>
      </c>
      <c r="B12" s="9" t="s">
        <v>504</v>
      </c>
      <c r="C12" s="10">
        <v>854</v>
      </c>
      <c r="D12" s="9" t="s">
        <v>86</v>
      </c>
      <c r="E12" s="10"/>
      <c r="F12" s="10">
        <f>C12*E12</f>
        <v>0</v>
      </c>
      <c r="G12" s="9"/>
    </row>
    <row r="13" spans="1:7" ht="21.6" customHeight="1" x14ac:dyDescent="0.45">
      <c r="A13" s="9" t="s">
        <v>486</v>
      </c>
      <c r="B13" s="9"/>
      <c r="C13" s="10"/>
      <c r="D13" s="9"/>
      <c r="E13" s="10"/>
      <c r="F13" s="10">
        <f>SUM(F10:F12)</f>
        <v>0</v>
      </c>
      <c r="G13" s="9"/>
    </row>
    <row r="14" spans="1:7" ht="21.6" customHeight="1" x14ac:dyDescent="0.45">
      <c r="A14" s="9" t="s">
        <v>506</v>
      </c>
      <c r="B14" s="9"/>
      <c r="C14" s="10"/>
      <c r="D14" s="9"/>
      <c r="E14" s="10"/>
      <c r="F14" s="10"/>
      <c r="G14" s="9"/>
    </row>
    <row r="15" spans="1:7" ht="21.6" customHeight="1" x14ac:dyDescent="0.45">
      <c r="A15" s="9" t="s">
        <v>507</v>
      </c>
      <c r="B15" s="9"/>
      <c r="C15" s="10">
        <v>25</v>
      </c>
      <c r="D15" s="9" t="s">
        <v>89</v>
      </c>
      <c r="E15" s="10"/>
      <c r="F15" s="10">
        <f>C15*E15</f>
        <v>0</v>
      </c>
      <c r="G15" s="9"/>
    </row>
    <row r="16" spans="1:7" ht="21.6" customHeight="1" x14ac:dyDescent="0.45">
      <c r="A16" s="9" t="s">
        <v>508</v>
      </c>
      <c r="B16" s="9" t="s">
        <v>509</v>
      </c>
      <c r="C16" s="10">
        <v>4</v>
      </c>
      <c r="D16" s="9" t="s">
        <v>321</v>
      </c>
      <c r="E16" s="10"/>
      <c r="F16" s="10">
        <f>C16*E16</f>
        <v>0</v>
      </c>
      <c r="G16" s="9"/>
    </row>
    <row r="17" spans="1:7" ht="21.6" customHeight="1" x14ac:dyDescent="0.45">
      <c r="A17" s="9" t="s">
        <v>486</v>
      </c>
      <c r="B17" s="9"/>
      <c r="C17" s="10"/>
      <c r="D17" s="9"/>
      <c r="E17" s="10"/>
      <c r="F17" s="10">
        <f>SUM(F14:F16)</f>
        <v>0</v>
      </c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E52B-7144-4ECB-9602-297DEE5E51E1}">
  <sheetPr codeName="Sheet80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480</v>
      </c>
      <c r="G1" s="3">
        <v>78</v>
      </c>
    </row>
    <row r="2" spans="1:7" ht="10.199999999999999" customHeight="1" x14ac:dyDescent="0.45">
      <c r="A2" s="4" t="s">
        <v>60</v>
      </c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214</v>
      </c>
      <c r="B4" s="9" t="s">
        <v>215</v>
      </c>
      <c r="C4" s="10">
        <v>1</v>
      </c>
      <c r="D4" s="9" t="s">
        <v>8</v>
      </c>
      <c r="E4" s="10"/>
      <c r="F4" s="10">
        <f>F6</f>
        <v>0</v>
      </c>
      <c r="G4" s="9" t="s">
        <v>216</v>
      </c>
    </row>
    <row r="5" spans="1:7" ht="21.6" customHeight="1" x14ac:dyDescent="0.45">
      <c r="A5" s="9" t="s">
        <v>510</v>
      </c>
      <c r="B5" s="9"/>
      <c r="C5" s="10"/>
      <c r="D5" s="9"/>
      <c r="E5" s="10"/>
      <c r="F5" s="10"/>
      <c r="G5" s="9"/>
    </row>
    <row r="6" spans="1:7" ht="21.6" customHeight="1" x14ac:dyDescent="0.45">
      <c r="A6" s="9" t="s">
        <v>511</v>
      </c>
      <c r="B6" s="9"/>
      <c r="C6" s="10">
        <v>1</v>
      </c>
      <c r="D6" s="9" t="s">
        <v>8</v>
      </c>
      <c r="E6" s="10"/>
      <c r="F6" s="10">
        <f>SUM(F5:F5)</f>
        <v>0</v>
      </c>
      <c r="G6" s="9"/>
    </row>
    <row r="7" spans="1:7" ht="21.6" customHeight="1" x14ac:dyDescent="0.45">
      <c r="A7" s="9" t="s">
        <v>512</v>
      </c>
      <c r="B7" s="9"/>
      <c r="C7" s="10">
        <v>1</v>
      </c>
      <c r="D7" s="9" t="s">
        <v>8</v>
      </c>
      <c r="E7" s="10"/>
      <c r="F7" s="10">
        <f>F8</f>
        <v>0</v>
      </c>
      <c r="G7" s="9"/>
    </row>
    <row r="8" spans="1:7" ht="21.6" customHeight="1" x14ac:dyDescent="0.45">
      <c r="A8" s="9" t="s">
        <v>486</v>
      </c>
      <c r="B8" s="9"/>
      <c r="C8" s="10"/>
      <c r="D8" s="9"/>
      <c r="E8" s="10"/>
      <c r="F8" s="10">
        <v>0</v>
      </c>
      <c r="G8" s="9"/>
    </row>
    <row r="9" spans="1:7" ht="21.6" customHeight="1" x14ac:dyDescent="0.45">
      <c r="A9" s="9" t="s">
        <v>513</v>
      </c>
      <c r="B9" s="9"/>
      <c r="C9" s="10"/>
      <c r="D9" s="9"/>
      <c r="E9" s="10"/>
      <c r="F9" s="10"/>
      <c r="G9" s="9"/>
    </row>
    <row r="10" spans="1:7" ht="21.6" customHeight="1" x14ac:dyDescent="0.45">
      <c r="A10" s="9" t="s">
        <v>514</v>
      </c>
      <c r="B10" s="9"/>
      <c r="C10" s="10">
        <v>1.5</v>
      </c>
      <c r="D10" s="9" t="s">
        <v>496</v>
      </c>
      <c r="E10" s="10"/>
      <c r="F10" s="10">
        <f>C10*E10</f>
        <v>0</v>
      </c>
      <c r="G10" s="9"/>
    </row>
    <row r="11" spans="1:7" ht="21.6" customHeight="1" x14ac:dyDescent="0.45">
      <c r="A11" s="9" t="s">
        <v>486</v>
      </c>
      <c r="B11" s="9"/>
      <c r="C11" s="10"/>
      <c r="D11" s="9"/>
      <c r="E11" s="10"/>
      <c r="F11" s="10">
        <f>SUM(F9:F10)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290D-678A-4C89-BD6D-07D409AE8FF8}">
  <sheetPr codeName="Sheet81"/>
  <dimension ref="A1:G18"/>
  <sheetViews>
    <sheetView zoomScale="140" zoomScaleNormal="140" workbookViewId="0">
      <selection activeCell="A5" sqref="A5:G13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515</v>
      </c>
      <c r="G1" s="3">
        <v>79</v>
      </c>
    </row>
    <row r="2" spans="1:7" ht="10.199999999999999" customHeight="1" x14ac:dyDescent="0.45">
      <c r="A2" s="4"/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516</v>
      </c>
      <c r="B4" s="9" t="s">
        <v>517</v>
      </c>
      <c r="C4" s="10">
        <v>94.2</v>
      </c>
      <c r="D4" s="9" t="s">
        <v>132</v>
      </c>
      <c r="E4" s="10"/>
      <c r="F4" s="10">
        <f>C4*E4</f>
        <v>0</v>
      </c>
      <c r="G4" s="9"/>
    </row>
    <row r="5" spans="1:7" ht="21.6" customHeight="1" x14ac:dyDescent="0.45">
      <c r="A5" s="9" t="s">
        <v>518</v>
      </c>
      <c r="B5" s="9" t="s">
        <v>519</v>
      </c>
      <c r="C5" s="10">
        <v>1</v>
      </c>
      <c r="D5" s="9" t="s">
        <v>8</v>
      </c>
      <c r="E5" s="10"/>
      <c r="F5" s="10">
        <f>'80'!F4</f>
        <v>0</v>
      </c>
      <c r="G5" s="9" t="s">
        <v>520</v>
      </c>
    </row>
    <row r="6" spans="1:7" ht="21.6" customHeight="1" x14ac:dyDescent="0.45">
      <c r="A6" s="9" t="s">
        <v>521</v>
      </c>
      <c r="B6" s="9" t="s">
        <v>522</v>
      </c>
      <c r="C6" s="10">
        <v>210</v>
      </c>
      <c r="D6" s="9" t="s">
        <v>132</v>
      </c>
      <c r="E6" s="10"/>
      <c r="F6" s="10">
        <f>C6*E6</f>
        <v>0</v>
      </c>
      <c r="G6" s="9"/>
    </row>
    <row r="7" spans="1:7" ht="21.6" customHeight="1" x14ac:dyDescent="0.45">
      <c r="A7" s="9" t="s">
        <v>523</v>
      </c>
      <c r="B7" s="9" t="s">
        <v>524</v>
      </c>
      <c r="C7" s="10">
        <v>1</v>
      </c>
      <c r="D7" s="9" t="s">
        <v>8</v>
      </c>
      <c r="E7" s="10"/>
      <c r="F7" s="10">
        <f>'80'!F7</f>
        <v>0</v>
      </c>
      <c r="G7" s="9" t="s">
        <v>525</v>
      </c>
    </row>
    <row r="8" spans="1:7" ht="21.6" customHeight="1" x14ac:dyDescent="0.45">
      <c r="A8" s="9" t="s">
        <v>526</v>
      </c>
      <c r="B8" s="9"/>
      <c r="C8" s="10">
        <v>1</v>
      </c>
      <c r="D8" s="9" t="s">
        <v>8</v>
      </c>
      <c r="E8" s="10"/>
      <c r="F8" s="10">
        <f>'80'!F10</f>
        <v>0</v>
      </c>
      <c r="G8" s="9" t="s">
        <v>527</v>
      </c>
    </row>
    <row r="9" spans="1:7" ht="21.6" customHeight="1" x14ac:dyDescent="0.45">
      <c r="A9" s="9" t="s">
        <v>528</v>
      </c>
      <c r="B9" s="9"/>
      <c r="C9" s="10">
        <v>1</v>
      </c>
      <c r="D9" s="9" t="s">
        <v>8</v>
      </c>
      <c r="E9" s="10"/>
      <c r="F9" s="10">
        <f>'80'!F13</f>
        <v>0</v>
      </c>
      <c r="G9" s="9" t="s">
        <v>529</v>
      </c>
    </row>
    <row r="10" spans="1:7" ht="21.6" customHeight="1" x14ac:dyDescent="0.45">
      <c r="A10" s="9" t="s">
        <v>530</v>
      </c>
      <c r="B10" s="9"/>
      <c r="C10" s="10">
        <v>1</v>
      </c>
      <c r="D10" s="9" t="s">
        <v>8</v>
      </c>
      <c r="E10" s="10"/>
      <c r="F10" s="10">
        <f>'81'!F4</f>
        <v>0</v>
      </c>
      <c r="G10" s="9" t="s">
        <v>531</v>
      </c>
    </row>
    <row r="11" spans="1:7" ht="21.6" customHeight="1" x14ac:dyDescent="0.45">
      <c r="A11" s="9" t="s">
        <v>532</v>
      </c>
      <c r="B11" s="9"/>
      <c r="C11" s="10">
        <v>1</v>
      </c>
      <c r="D11" s="9" t="s">
        <v>8</v>
      </c>
      <c r="E11" s="10"/>
      <c r="F11" s="10">
        <f>'81'!F7</f>
        <v>0</v>
      </c>
      <c r="G11" s="9" t="s">
        <v>533</v>
      </c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SUM(F4:F11)</f>
        <v>0</v>
      </c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5A59-5D72-4495-B0DF-3948F455AA1D}">
  <sheetPr codeName="Sheet82"/>
  <dimension ref="A1:G18"/>
  <sheetViews>
    <sheetView zoomScale="140" zoomScaleNormal="140" workbookViewId="0">
      <selection activeCell="A5" sqref="A5:G16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534</v>
      </c>
      <c r="G1" s="3">
        <v>80</v>
      </c>
    </row>
    <row r="2" spans="1:7" ht="10.199999999999999" customHeight="1" x14ac:dyDescent="0.45">
      <c r="A2" s="4"/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518</v>
      </c>
      <c r="B4" s="9" t="s">
        <v>519</v>
      </c>
      <c r="C4" s="10">
        <v>1</v>
      </c>
      <c r="D4" s="9" t="s">
        <v>8</v>
      </c>
      <c r="E4" s="10"/>
      <c r="F4" s="10">
        <f>F6</f>
        <v>0</v>
      </c>
      <c r="G4" s="9" t="s">
        <v>520</v>
      </c>
    </row>
    <row r="5" spans="1:7" ht="21.6" customHeight="1" x14ac:dyDescent="0.45">
      <c r="A5" s="9" t="s">
        <v>518</v>
      </c>
      <c r="B5" s="9" t="s">
        <v>535</v>
      </c>
      <c r="C5" s="10">
        <v>186</v>
      </c>
      <c r="D5" s="9" t="s">
        <v>86</v>
      </c>
      <c r="E5" s="10"/>
      <c r="F5" s="10">
        <f>C5*E5</f>
        <v>0</v>
      </c>
      <c r="G5" s="9"/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SUM(F5:F5)</f>
        <v>0</v>
      </c>
      <c r="G6" s="9"/>
    </row>
    <row r="7" spans="1:7" ht="21.6" customHeight="1" x14ac:dyDescent="0.45">
      <c r="A7" s="9" t="s">
        <v>523</v>
      </c>
      <c r="B7" s="9" t="s">
        <v>524</v>
      </c>
      <c r="C7" s="10">
        <v>1</v>
      </c>
      <c r="D7" s="9" t="s">
        <v>8</v>
      </c>
      <c r="E7" s="10"/>
      <c r="F7" s="10">
        <f>F9</f>
        <v>0</v>
      </c>
      <c r="G7" s="9" t="s">
        <v>525</v>
      </c>
    </row>
    <row r="8" spans="1:7" ht="21.6" customHeight="1" x14ac:dyDescent="0.45">
      <c r="A8" s="9" t="s">
        <v>536</v>
      </c>
      <c r="B8" s="9" t="s">
        <v>537</v>
      </c>
      <c r="C8" s="10">
        <v>18</v>
      </c>
      <c r="D8" s="9" t="s">
        <v>86</v>
      </c>
      <c r="E8" s="10"/>
      <c r="F8" s="10">
        <f>C8*E8</f>
        <v>0</v>
      </c>
      <c r="G8" s="9"/>
    </row>
    <row r="9" spans="1:7" ht="21.6" customHeight="1" x14ac:dyDescent="0.45">
      <c r="A9" s="9" t="s">
        <v>9</v>
      </c>
      <c r="B9" s="9"/>
      <c r="C9" s="10"/>
      <c r="D9" s="9"/>
      <c r="E9" s="10"/>
      <c r="F9" s="10">
        <f>SUM(F8:F8)</f>
        <v>0</v>
      </c>
      <c r="G9" s="9"/>
    </row>
    <row r="10" spans="1:7" ht="21.6" customHeight="1" x14ac:dyDescent="0.45">
      <c r="A10" s="9" t="s">
        <v>526</v>
      </c>
      <c r="B10" s="9"/>
      <c r="C10" s="10">
        <v>1</v>
      </c>
      <c r="D10" s="9" t="s">
        <v>8</v>
      </c>
      <c r="E10" s="10"/>
      <c r="F10" s="10">
        <f>F12</f>
        <v>0</v>
      </c>
      <c r="G10" s="9" t="s">
        <v>527</v>
      </c>
    </row>
    <row r="11" spans="1:7" ht="21.6" customHeight="1" x14ac:dyDescent="0.45">
      <c r="A11" s="9" t="s">
        <v>538</v>
      </c>
      <c r="B11" s="9"/>
      <c r="C11" s="10">
        <v>135</v>
      </c>
      <c r="D11" s="9" t="s">
        <v>539</v>
      </c>
      <c r="E11" s="10"/>
      <c r="F11" s="10">
        <f>C11*E11</f>
        <v>0</v>
      </c>
      <c r="G11" s="9"/>
    </row>
    <row r="12" spans="1:7" ht="21.6" customHeight="1" x14ac:dyDescent="0.45">
      <c r="A12" s="9" t="s">
        <v>9</v>
      </c>
      <c r="B12" s="9"/>
      <c r="C12" s="10"/>
      <c r="D12" s="9"/>
      <c r="E12" s="10"/>
      <c r="F12" s="10">
        <f>SUM(F11:F11)</f>
        <v>0</v>
      </c>
      <c r="G12" s="9"/>
    </row>
    <row r="13" spans="1:7" ht="21.6" customHeight="1" x14ac:dyDescent="0.45">
      <c r="A13" s="9" t="s">
        <v>528</v>
      </c>
      <c r="B13" s="9"/>
      <c r="C13" s="10">
        <v>1</v>
      </c>
      <c r="D13" s="9" t="s">
        <v>8</v>
      </c>
      <c r="E13" s="10"/>
      <c r="F13" s="10">
        <f>F15</f>
        <v>0</v>
      </c>
      <c r="G13" s="9" t="s">
        <v>529</v>
      </c>
    </row>
    <row r="14" spans="1:7" ht="21.6" customHeight="1" x14ac:dyDescent="0.45">
      <c r="A14" s="9" t="s">
        <v>540</v>
      </c>
      <c r="B14" s="9" t="s">
        <v>541</v>
      </c>
      <c r="C14" s="10">
        <v>2</v>
      </c>
      <c r="D14" s="9" t="s">
        <v>542</v>
      </c>
      <c r="E14" s="10"/>
      <c r="F14" s="10">
        <f>C14*E14</f>
        <v>0</v>
      </c>
      <c r="G14" s="9"/>
    </row>
    <row r="15" spans="1:7" ht="21.6" customHeight="1" x14ac:dyDescent="0.45">
      <c r="A15" s="9" t="s">
        <v>9</v>
      </c>
      <c r="B15" s="9"/>
      <c r="C15" s="10"/>
      <c r="D15" s="9"/>
      <c r="E15" s="10"/>
      <c r="F15" s="10">
        <f>SUM(F14:F14)</f>
        <v>0</v>
      </c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8689-1295-41F2-85BF-23B71173D114}">
  <sheetPr codeName="Sheet83"/>
  <dimension ref="A1:G18"/>
  <sheetViews>
    <sheetView zoomScale="140" zoomScaleNormal="140" workbookViewId="0">
      <selection activeCell="A5" sqref="A5:G7"/>
    </sheetView>
  </sheetViews>
  <sheetFormatPr defaultRowHeight="18" x14ac:dyDescent="0.45"/>
  <cols>
    <col min="1" max="1" width="12.69921875" style="2" customWidth="1"/>
    <col min="2" max="2" width="25.19921875" style="2" customWidth="1"/>
    <col min="3" max="3" width="19.8984375" style="2" customWidth="1"/>
    <col min="4" max="4" width="5.19921875" style="2" customWidth="1"/>
    <col min="5" max="5" width="15.19921875" style="2" customWidth="1"/>
    <col min="6" max="7" width="19.8984375" style="2" customWidth="1"/>
    <col min="8" max="16384" width="8.796875" style="2"/>
  </cols>
  <sheetData>
    <row r="1" spans="1:7" ht="19.8" customHeight="1" x14ac:dyDescent="0.45">
      <c r="A1" s="1" t="s">
        <v>534</v>
      </c>
      <c r="G1" s="3">
        <v>81</v>
      </c>
    </row>
    <row r="2" spans="1:7" ht="10.199999999999999" customHeight="1" x14ac:dyDescent="0.45">
      <c r="A2" s="4"/>
      <c r="B2" s="5"/>
      <c r="C2" s="5"/>
      <c r="D2" s="5"/>
      <c r="E2" s="5"/>
      <c r="F2" s="5"/>
      <c r="G2" s="6"/>
    </row>
    <row r="3" spans="1:7" s="8" customFormat="1" ht="10.199999999999999" customHeight="1" x14ac:dyDescent="0.45">
      <c r="A3" s="7" t="s">
        <v>1</v>
      </c>
      <c r="B3" s="7" t="s">
        <v>78</v>
      </c>
      <c r="C3" s="7" t="s">
        <v>2</v>
      </c>
      <c r="D3" s="7" t="s">
        <v>3</v>
      </c>
      <c r="E3" s="7" t="s">
        <v>79</v>
      </c>
      <c r="F3" s="7" t="s">
        <v>4</v>
      </c>
      <c r="G3" s="7" t="s">
        <v>5</v>
      </c>
    </row>
    <row r="4" spans="1:7" ht="21.6" customHeight="1" x14ac:dyDescent="0.45">
      <c r="A4" s="9" t="s">
        <v>530</v>
      </c>
      <c r="B4" s="9"/>
      <c r="C4" s="10">
        <v>1</v>
      </c>
      <c r="D4" s="9" t="s">
        <v>8</v>
      </c>
      <c r="E4" s="10"/>
      <c r="F4" s="10">
        <f>F6</f>
        <v>0</v>
      </c>
      <c r="G4" s="9" t="s">
        <v>531</v>
      </c>
    </row>
    <row r="5" spans="1:7" ht="21.6" customHeight="1" x14ac:dyDescent="0.45">
      <c r="A5" s="9" t="s">
        <v>530</v>
      </c>
      <c r="B5" s="9" t="s">
        <v>543</v>
      </c>
      <c r="C5" s="10">
        <v>2</v>
      </c>
      <c r="D5" s="9" t="s">
        <v>542</v>
      </c>
      <c r="E5" s="10"/>
      <c r="F5" s="10">
        <f>C5*E5</f>
        <v>0</v>
      </c>
      <c r="G5" s="9"/>
    </row>
    <row r="6" spans="1:7" ht="21.6" customHeight="1" x14ac:dyDescent="0.45">
      <c r="A6" s="9" t="s">
        <v>9</v>
      </c>
      <c r="B6" s="9"/>
      <c r="C6" s="10"/>
      <c r="D6" s="9"/>
      <c r="E6" s="10"/>
      <c r="F6" s="10">
        <f>SUM(F5:F5)</f>
        <v>0</v>
      </c>
      <c r="G6" s="9"/>
    </row>
    <row r="7" spans="1:7" ht="21.6" customHeight="1" x14ac:dyDescent="0.45">
      <c r="A7" s="9" t="s">
        <v>532</v>
      </c>
      <c r="B7" s="9"/>
      <c r="C7" s="10">
        <v>1</v>
      </c>
      <c r="D7" s="9" t="s">
        <v>8</v>
      </c>
      <c r="E7" s="10"/>
      <c r="F7" s="10">
        <f>C7*E7</f>
        <v>0</v>
      </c>
      <c r="G7" s="9" t="s">
        <v>533</v>
      </c>
    </row>
    <row r="8" spans="1:7" ht="21.6" customHeight="1" x14ac:dyDescent="0.45">
      <c r="A8" s="9"/>
      <c r="B8" s="9"/>
      <c r="C8" s="9"/>
      <c r="D8" s="9"/>
      <c r="E8" s="9"/>
      <c r="F8" s="9"/>
      <c r="G8" s="9"/>
    </row>
    <row r="9" spans="1:7" ht="21.6" customHeight="1" x14ac:dyDescent="0.45">
      <c r="A9" s="9"/>
      <c r="B9" s="9"/>
      <c r="C9" s="9"/>
      <c r="D9" s="9"/>
      <c r="E9" s="9"/>
      <c r="F9" s="9"/>
      <c r="G9" s="9"/>
    </row>
    <row r="10" spans="1:7" ht="21.6" customHeight="1" x14ac:dyDescent="0.45">
      <c r="A10" s="9"/>
      <c r="B10" s="9"/>
      <c r="C10" s="9"/>
      <c r="D10" s="9"/>
      <c r="E10" s="9"/>
      <c r="F10" s="9"/>
      <c r="G10" s="9"/>
    </row>
    <row r="11" spans="1:7" ht="21.6" customHeight="1" x14ac:dyDescent="0.45">
      <c r="A11" s="9"/>
      <c r="B11" s="9"/>
      <c r="C11" s="9"/>
      <c r="D11" s="9"/>
      <c r="E11" s="9"/>
      <c r="F11" s="9"/>
      <c r="G11" s="9"/>
    </row>
    <row r="12" spans="1:7" ht="21.6" customHeight="1" x14ac:dyDescent="0.45">
      <c r="A12" s="9"/>
      <c r="B12" s="9"/>
      <c r="C12" s="9"/>
      <c r="D12" s="9"/>
      <c r="E12" s="9"/>
      <c r="F12" s="9"/>
      <c r="G12" s="9"/>
    </row>
    <row r="13" spans="1:7" ht="21.6" customHeight="1" x14ac:dyDescent="0.45">
      <c r="A13" s="9"/>
      <c r="B13" s="9"/>
      <c r="C13" s="9"/>
      <c r="D13" s="9"/>
      <c r="E13" s="9"/>
      <c r="F13" s="9"/>
      <c r="G13" s="9"/>
    </row>
    <row r="14" spans="1:7" ht="21.6" customHeight="1" x14ac:dyDescent="0.45">
      <c r="A14" s="9"/>
      <c r="B14" s="9"/>
      <c r="C14" s="9"/>
      <c r="D14" s="9"/>
      <c r="E14" s="9"/>
      <c r="F14" s="9"/>
      <c r="G14" s="9"/>
    </row>
    <row r="15" spans="1:7" ht="21.6" customHeight="1" x14ac:dyDescent="0.45">
      <c r="A15" s="9"/>
      <c r="B15" s="9"/>
      <c r="C15" s="9"/>
      <c r="D15" s="9"/>
      <c r="E15" s="9"/>
      <c r="F15" s="9"/>
      <c r="G15" s="9"/>
    </row>
    <row r="16" spans="1:7" ht="21.6" customHeight="1" x14ac:dyDescent="0.45">
      <c r="A16" s="9"/>
      <c r="B16" s="9"/>
      <c r="C16" s="9"/>
      <c r="D16" s="9"/>
      <c r="E16" s="9"/>
      <c r="F16" s="9"/>
      <c r="G16" s="9"/>
    </row>
    <row r="17" spans="1:7" ht="21.6" customHeight="1" x14ac:dyDescent="0.45">
      <c r="A17" s="9"/>
      <c r="B17" s="9"/>
      <c r="C17" s="9"/>
      <c r="D17" s="9"/>
      <c r="E17" s="9"/>
      <c r="F17" s="9"/>
      <c r="G17" s="9"/>
    </row>
    <row r="18" spans="1:7" ht="21.6" customHeight="1" x14ac:dyDescent="0.45">
      <c r="A18" s="9"/>
      <c r="B18" s="9"/>
      <c r="C18" s="9"/>
      <c r="D18" s="9"/>
      <c r="E18" s="9"/>
      <c r="F18" s="9"/>
      <c r="G18" s="9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81</vt:i4>
      </vt:variant>
    </vt:vector>
  </HeadingPairs>
  <TitlesOfParts>
    <vt:vector size="8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牧穂</dc:creator>
  <cp:lastModifiedBy>林 牧穂</cp:lastModifiedBy>
  <dcterms:created xsi:type="dcterms:W3CDTF">2026-02-03T23:03:55Z</dcterms:created>
  <dcterms:modified xsi:type="dcterms:W3CDTF">2026-02-04T02:11:26Z</dcterms:modified>
</cp:coreProperties>
</file>